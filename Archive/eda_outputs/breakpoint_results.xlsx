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MIT Dropbox/David Izrailov/MIT/Academics/Spring/RA/Medicaid/"/>
    </mc:Choice>
  </mc:AlternateContent>
  <xr:revisionPtr revIDLastSave="0" documentId="13_ncr:1_{D79592BD-450A-3F45-9A50-9F54F2A83ABF}" xr6:coauthVersionLast="47" xr6:coauthVersionMax="47" xr10:uidLastSave="{00000000-0000-0000-0000-000000000000}"/>
  <bookViews>
    <workbookView xWindow="0" yWindow="660" windowWidth="29400" windowHeight="16940" xr2:uid="{A3B4BC5C-FBBD-458E-BD97-9B2696C75C1D}"/>
  </bookViews>
  <sheets>
    <sheet name="breakpoin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J11" i="1" s="1"/>
  <c r="AI12" i="1"/>
  <c r="AI13" i="1"/>
  <c r="AI14" i="1"/>
  <c r="AI15" i="1"/>
  <c r="AI16" i="1"/>
  <c r="AJ16" i="1" s="1"/>
  <c r="AI17" i="1"/>
  <c r="AI18" i="1"/>
  <c r="AJ18" i="1" s="1"/>
  <c r="AI19" i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I36" i="1"/>
  <c r="AI37" i="1"/>
  <c r="AI38" i="1"/>
  <c r="AI39" i="1"/>
  <c r="AI40" i="1"/>
  <c r="AI41" i="1"/>
  <c r="AI42" i="1"/>
  <c r="AI43" i="1"/>
  <c r="AI44" i="1"/>
  <c r="AI45" i="1"/>
  <c r="AJ45" i="1" s="1"/>
  <c r="AI46" i="1"/>
  <c r="AJ46" i="1" s="1"/>
  <c r="AI47" i="1"/>
  <c r="AJ47" i="1" s="1"/>
  <c r="AI48" i="1"/>
  <c r="AJ48" i="1" s="1"/>
  <c r="AI49" i="1"/>
  <c r="AJ49" i="1" s="1"/>
  <c r="AI50" i="1"/>
  <c r="AJ50" i="1" s="1"/>
  <c r="AI51" i="1"/>
  <c r="AJ51" i="1" s="1"/>
  <c r="AI52" i="1"/>
  <c r="AJ52" i="1" s="1"/>
  <c r="AI53" i="1"/>
  <c r="AJ53" i="1" s="1"/>
  <c r="AI54" i="1"/>
  <c r="AJ54" i="1" s="1"/>
  <c r="AI55" i="1"/>
  <c r="AJ55" i="1" s="1"/>
  <c r="AI56" i="1"/>
  <c r="AJ56" i="1" s="1"/>
  <c r="AI57" i="1"/>
  <c r="AJ57" i="1" s="1"/>
  <c r="AI58" i="1"/>
  <c r="AJ58" i="1" s="1"/>
  <c r="AI59" i="1"/>
  <c r="AJ59" i="1" s="1"/>
  <c r="AI60" i="1"/>
  <c r="AJ60" i="1" s="1"/>
  <c r="AI61" i="1"/>
  <c r="AJ61" i="1" s="1"/>
  <c r="AI62" i="1"/>
  <c r="AJ62" i="1" s="1"/>
  <c r="AI63" i="1"/>
  <c r="AJ63" i="1" s="1"/>
  <c r="AI64" i="1"/>
  <c r="AJ64" i="1" s="1"/>
  <c r="AI65" i="1"/>
  <c r="AJ65" i="1" s="1"/>
  <c r="AI66" i="1"/>
  <c r="AJ66" i="1" s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J83" i="1" s="1"/>
  <c r="AI84" i="1"/>
  <c r="AJ84" i="1" s="1"/>
  <c r="AI85" i="1"/>
  <c r="AJ85" i="1" s="1"/>
  <c r="AI86" i="1"/>
  <c r="AJ86" i="1" s="1"/>
  <c r="AI87" i="1"/>
  <c r="AJ87" i="1" s="1"/>
  <c r="AI88" i="1"/>
  <c r="AJ88" i="1" s="1"/>
  <c r="AI89" i="1"/>
  <c r="AJ89" i="1" s="1"/>
  <c r="AI90" i="1"/>
  <c r="AJ90" i="1" s="1"/>
  <c r="AI91" i="1"/>
  <c r="AI92" i="1"/>
  <c r="AJ92" i="1" s="1"/>
  <c r="AI93" i="1"/>
  <c r="AJ93" i="1" s="1"/>
  <c r="AI94" i="1"/>
  <c r="AJ94" i="1" s="1"/>
  <c r="AI95" i="1"/>
  <c r="AJ95" i="1" s="1"/>
  <c r="AI96" i="1"/>
  <c r="AJ96" i="1" s="1"/>
  <c r="AI97" i="1"/>
  <c r="AJ97" i="1" s="1"/>
  <c r="AI98" i="1"/>
  <c r="AJ98" i="1" s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J121" i="1" s="1"/>
  <c r="AI122" i="1"/>
  <c r="AJ122" i="1" s="1"/>
  <c r="AI123" i="1"/>
  <c r="AI124" i="1"/>
  <c r="AJ124" i="1" s="1"/>
  <c r="AI125" i="1"/>
  <c r="AI126" i="1"/>
  <c r="AJ126" i="1" s="1"/>
  <c r="AI127" i="1"/>
  <c r="AJ127" i="1" s="1"/>
  <c r="AI128" i="1"/>
  <c r="AJ128" i="1" s="1"/>
  <c r="AI129" i="1"/>
  <c r="AJ129" i="1" s="1"/>
  <c r="AI130" i="1"/>
  <c r="AJ130" i="1" s="1"/>
  <c r="AI131" i="1"/>
  <c r="AI132" i="1"/>
  <c r="AI133" i="1"/>
  <c r="AI134" i="1"/>
  <c r="AI2" i="1"/>
  <c r="AJ5" i="1"/>
  <c r="AJ8" i="1"/>
  <c r="AJ37" i="1"/>
  <c r="AJ40" i="1"/>
  <c r="AJ69" i="1"/>
  <c r="AJ72" i="1"/>
  <c r="AJ91" i="1"/>
  <c r="AJ101" i="1"/>
  <c r="AJ104" i="1"/>
  <c r="AJ123" i="1"/>
  <c r="AJ125" i="1"/>
  <c r="AJ133" i="1"/>
  <c r="AJ3" i="1"/>
  <c r="AJ4" i="1"/>
  <c r="AJ6" i="1"/>
  <c r="AJ7" i="1"/>
  <c r="AJ9" i="1"/>
  <c r="AJ10" i="1"/>
  <c r="AJ12" i="1"/>
  <c r="AJ13" i="1"/>
  <c r="AJ14" i="1"/>
  <c r="AJ15" i="1"/>
  <c r="AJ17" i="1"/>
  <c r="AJ19" i="1"/>
  <c r="AJ35" i="1"/>
  <c r="AJ36" i="1"/>
  <c r="AJ38" i="1"/>
  <c r="AJ39" i="1"/>
  <c r="AJ41" i="1"/>
  <c r="AJ42" i="1"/>
  <c r="AJ43" i="1"/>
  <c r="AJ44" i="1"/>
  <c r="AJ67" i="1"/>
  <c r="AJ68" i="1"/>
  <c r="AJ70" i="1"/>
  <c r="AJ71" i="1"/>
  <c r="AJ73" i="1"/>
  <c r="AJ74" i="1"/>
  <c r="AJ75" i="1"/>
  <c r="AJ76" i="1"/>
  <c r="AJ77" i="1"/>
  <c r="AJ78" i="1"/>
  <c r="AJ79" i="1"/>
  <c r="AJ80" i="1"/>
  <c r="AJ81" i="1"/>
  <c r="AJ82" i="1"/>
  <c r="AJ99" i="1"/>
  <c r="AJ100" i="1"/>
  <c r="AJ102" i="1"/>
  <c r="AJ103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31" i="1"/>
  <c r="AJ132" i="1"/>
  <c r="AJ134" i="1"/>
  <c r="AJ2" i="1"/>
  <c r="AH17" i="1"/>
  <c r="AH18" i="1"/>
  <c r="AH19" i="1"/>
  <c r="AH20" i="1"/>
  <c r="AH21" i="1"/>
  <c r="AH26" i="1"/>
  <c r="AH27" i="1"/>
  <c r="AH28" i="1"/>
  <c r="AH29" i="1"/>
  <c r="AH30" i="1"/>
  <c r="AH49" i="1"/>
  <c r="AH50" i="1"/>
  <c r="AH51" i="1"/>
  <c r="AH52" i="1"/>
  <c r="AH53" i="1"/>
  <c r="AH58" i="1"/>
  <c r="AH59" i="1"/>
  <c r="AH60" i="1"/>
  <c r="AH61" i="1"/>
  <c r="AH62" i="1"/>
  <c r="AH81" i="1"/>
  <c r="AH82" i="1"/>
  <c r="AH83" i="1"/>
  <c r="AH84" i="1"/>
  <c r="AH85" i="1"/>
  <c r="AH90" i="1"/>
  <c r="AH91" i="1"/>
  <c r="AH92" i="1"/>
  <c r="AH93" i="1"/>
  <c r="AH94" i="1"/>
  <c r="AH113" i="1"/>
  <c r="AH114" i="1"/>
  <c r="AH115" i="1"/>
  <c r="AH116" i="1"/>
  <c r="AH117" i="1"/>
  <c r="AH122" i="1"/>
  <c r="AH123" i="1"/>
  <c r="AH124" i="1"/>
  <c r="AH125" i="1"/>
  <c r="AH126" i="1"/>
  <c r="AG3" i="1"/>
  <c r="AH3" i="1" s="1"/>
  <c r="AG4" i="1"/>
  <c r="AH4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G18" i="1"/>
  <c r="AG19" i="1"/>
  <c r="AG20" i="1"/>
  <c r="AG21" i="1"/>
  <c r="AG22" i="1"/>
  <c r="AH22" i="1" s="1"/>
  <c r="AG23" i="1"/>
  <c r="AH23" i="1" s="1"/>
  <c r="AG24" i="1"/>
  <c r="AH24" i="1" s="1"/>
  <c r="AG25" i="1"/>
  <c r="AH25" i="1" s="1"/>
  <c r="AG26" i="1"/>
  <c r="AG27" i="1"/>
  <c r="AG28" i="1"/>
  <c r="AG29" i="1"/>
  <c r="AG30" i="1"/>
  <c r="AG31" i="1"/>
  <c r="AH31" i="1" s="1"/>
  <c r="AG32" i="1"/>
  <c r="AH32" i="1" s="1"/>
  <c r="AG33" i="1"/>
  <c r="AH33" i="1" s="1"/>
  <c r="AG34" i="1"/>
  <c r="AH34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G41" i="1"/>
  <c r="AH41" i="1" s="1"/>
  <c r="AG42" i="1"/>
  <c r="AH42" i="1" s="1"/>
  <c r="AG43" i="1"/>
  <c r="AH43" i="1" s="1"/>
  <c r="AG44" i="1"/>
  <c r="AH44" i="1" s="1"/>
  <c r="AG45" i="1"/>
  <c r="AH45" i="1" s="1"/>
  <c r="AG46" i="1"/>
  <c r="AH46" i="1" s="1"/>
  <c r="AG47" i="1"/>
  <c r="AH47" i="1" s="1"/>
  <c r="AG48" i="1"/>
  <c r="AH48" i="1" s="1"/>
  <c r="AG49" i="1"/>
  <c r="AG50" i="1"/>
  <c r="AG51" i="1"/>
  <c r="AG52" i="1"/>
  <c r="AG53" i="1"/>
  <c r="AG54" i="1"/>
  <c r="AH54" i="1" s="1"/>
  <c r="AG55" i="1"/>
  <c r="AH55" i="1" s="1"/>
  <c r="AG56" i="1"/>
  <c r="AH56" i="1" s="1"/>
  <c r="AG57" i="1"/>
  <c r="AH57" i="1" s="1"/>
  <c r="AG58" i="1"/>
  <c r="AG59" i="1"/>
  <c r="AG60" i="1"/>
  <c r="AG61" i="1"/>
  <c r="AG62" i="1"/>
  <c r="AG63" i="1"/>
  <c r="AH63" i="1" s="1"/>
  <c r="AG64" i="1"/>
  <c r="AH64" i="1" s="1"/>
  <c r="AG65" i="1"/>
  <c r="AH65" i="1" s="1"/>
  <c r="AG66" i="1"/>
  <c r="AH66" i="1" s="1"/>
  <c r="AG67" i="1"/>
  <c r="AH67" i="1" s="1"/>
  <c r="AG68" i="1"/>
  <c r="AH68" i="1" s="1"/>
  <c r="AG69" i="1"/>
  <c r="AH69" i="1" s="1"/>
  <c r="AG70" i="1"/>
  <c r="AH70" i="1" s="1"/>
  <c r="AG71" i="1"/>
  <c r="AH71" i="1" s="1"/>
  <c r="AG72" i="1"/>
  <c r="AH72" i="1" s="1"/>
  <c r="AG73" i="1"/>
  <c r="AH73" i="1" s="1"/>
  <c r="AG74" i="1"/>
  <c r="AH74" i="1" s="1"/>
  <c r="AG75" i="1"/>
  <c r="AH75" i="1" s="1"/>
  <c r="AG76" i="1"/>
  <c r="AH76" i="1" s="1"/>
  <c r="AG77" i="1"/>
  <c r="AH77" i="1" s="1"/>
  <c r="AG78" i="1"/>
  <c r="AH78" i="1" s="1"/>
  <c r="AG79" i="1"/>
  <c r="AH79" i="1" s="1"/>
  <c r="AG80" i="1"/>
  <c r="AH80" i="1" s="1"/>
  <c r="AG81" i="1"/>
  <c r="AG82" i="1"/>
  <c r="AG83" i="1"/>
  <c r="AG84" i="1"/>
  <c r="AG85" i="1"/>
  <c r="AG86" i="1"/>
  <c r="AH86" i="1" s="1"/>
  <c r="AG87" i="1"/>
  <c r="AH87" i="1" s="1"/>
  <c r="AG88" i="1"/>
  <c r="AH88" i="1" s="1"/>
  <c r="AG89" i="1"/>
  <c r="AH89" i="1" s="1"/>
  <c r="AG90" i="1"/>
  <c r="AG91" i="1"/>
  <c r="AG92" i="1"/>
  <c r="AG93" i="1"/>
  <c r="AG94" i="1"/>
  <c r="AG95" i="1"/>
  <c r="AH95" i="1" s="1"/>
  <c r="AG96" i="1"/>
  <c r="AH96" i="1" s="1"/>
  <c r="AG97" i="1"/>
  <c r="AH97" i="1" s="1"/>
  <c r="AG98" i="1"/>
  <c r="AH98" i="1" s="1"/>
  <c r="AG99" i="1"/>
  <c r="AH99" i="1" s="1"/>
  <c r="AG100" i="1"/>
  <c r="AH100" i="1" s="1"/>
  <c r="AG101" i="1"/>
  <c r="AH101" i="1" s="1"/>
  <c r="AG102" i="1"/>
  <c r="AH102" i="1" s="1"/>
  <c r="AG103" i="1"/>
  <c r="AH103" i="1" s="1"/>
  <c r="AG104" i="1"/>
  <c r="AH104" i="1" s="1"/>
  <c r="AG105" i="1"/>
  <c r="AH105" i="1" s="1"/>
  <c r="AG106" i="1"/>
  <c r="AH106" i="1" s="1"/>
  <c r="AG107" i="1"/>
  <c r="AH107" i="1" s="1"/>
  <c r="AG108" i="1"/>
  <c r="AH108" i="1" s="1"/>
  <c r="AG109" i="1"/>
  <c r="AH109" i="1" s="1"/>
  <c r="AG110" i="1"/>
  <c r="AH110" i="1" s="1"/>
  <c r="AG111" i="1"/>
  <c r="AH111" i="1" s="1"/>
  <c r="AG112" i="1"/>
  <c r="AH112" i="1" s="1"/>
  <c r="AG113" i="1"/>
  <c r="AG114" i="1"/>
  <c r="AG115" i="1"/>
  <c r="AG116" i="1"/>
  <c r="AG117" i="1"/>
  <c r="AG118" i="1"/>
  <c r="AH118" i="1" s="1"/>
  <c r="AG119" i="1"/>
  <c r="AH119" i="1" s="1"/>
  <c r="AG120" i="1"/>
  <c r="AH120" i="1" s="1"/>
  <c r="AG121" i="1"/>
  <c r="AH121" i="1" s="1"/>
  <c r="AG122" i="1"/>
  <c r="AG123" i="1"/>
  <c r="AG124" i="1"/>
  <c r="AG125" i="1"/>
  <c r="AG126" i="1"/>
  <c r="AG127" i="1"/>
  <c r="AH127" i="1" s="1"/>
  <c r="AG128" i="1"/>
  <c r="AH128" i="1" s="1"/>
  <c r="AG129" i="1"/>
  <c r="AH129" i="1" s="1"/>
  <c r="AG130" i="1"/>
  <c r="AH130" i="1" s="1"/>
  <c r="AG131" i="1"/>
  <c r="AH131" i="1" s="1"/>
  <c r="AG132" i="1"/>
  <c r="AH132" i="1" s="1"/>
  <c r="AG133" i="1"/>
  <c r="AH133" i="1" s="1"/>
  <c r="AG134" i="1"/>
  <c r="AH134" i="1" s="1"/>
  <c r="AG2" i="1"/>
  <c r="AH2" i="1" s="1"/>
</calcChain>
</file>

<file path=xl/sharedStrings.xml><?xml version="1.0" encoding="utf-8"?>
<sst xmlns="http://schemas.openxmlformats.org/spreadsheetml/2006/main" count="169" uniqueCount="136">
  <si>
    <t>HCPCS_CODE</t>
  </si>
  <si>
    <t>Description</t>
  </si>
  <si>
    <t>B0_const_2021-01</t>
  </si>
  <si>
    <t>B1_time_2021-01</t>
  </si>
  <si>
    <t>B2_level_2021-01</t>
  </si>
  <si>
    <t>B3_slope_2021-01</t>
  </si>
  <si>
    <t>p_const_2021-01</t>
  </si>
  <si>
    <t>p_time_2021-01</t>
  </si>
  <si>
    <t>p_level_2021-01</t>
  </si>
  <si>
    <t>p_slope_2021-01</t>
  </si>
  <si>
    <t>R_squared_2021-01</t>
  </si>
  <si>
    <t>BIC_2021-01</t>
  </si>
  <si>
    <t>B0_const_2020-06</t>
  </si>
  <si>
    <t>B1_time_2020-06</t>
  </si>
  <si>
    <t>B2_level_2020-06</t>
  </si>
  <si>
    <t>B3_slope_2020-06</t>
  </si>
  <si>
    <t>p_const_2020-06</t>
  </si>
  <si>
    <t>p_time_2020-06</t>
  </si>
  <si>
    <t>p_level_2020-06</t>
  </si>
  <si>
    <t>p_slope_2020-06</t>
  </si>
  <si>
    <t>R_squared_2020-06</t>
  </si>
  <si>
    <t>BIC_2020-06</t>
  </si>
  <si>
    <t>B0_const_2021-03</t>
  </si>
  <si>
    <t>B1_time_2021-03</t>
  </si>
  <si>
    <t>B2_level_2021-03</t>
  </si>
  <si>
    <t>B3_slope_2021-03</t>
  </si>
  <si>
    <t>p_const_2021-03</t>
  </si>
  <si>
    <t>p_time_2021-03</t>
  </si>
  <si>
    <t>p_level_2021-03</t>
  </si>
  <si>
    <t>p_slope_2021-03</t>
  </si>
  <si>
    <t>R_squared_2021-03</t>
  </si>
  <si>
    <t>BIC_2021-03</t>
  </si>
  <si>
    <t>Tangential skin biopsy, single lesion</t>
  </si>
  <si>
    <t>Tangential skin biopsy, each additional lesion</t>
  </si>
  <si>
    <t>Punch skin biopsy, single lesion</t>
  </si>
  <si>
    <t>Punch skin biopsy, each additional lesion</t>
  </si>
  <si>
    <t>Incisional skin biopsy, single lesion</t>
  </si>
  <si>
    <t>Incisional skin biopsy, each additional lesion</t>
  </si>
  <si>
    <t>Closed treatment of clavicular fracture; without manipulation</t>
  </si>
  <si>
    <t>Closed treatment of distal radius fracture; without manipulation</t>
  </si>
  <si>
    <t>ClosedÂ treatmentÂ ofÂ aÂ distalÂ radialÂ fractureÂ withÂ manipulationÂ </t>
  </si>
  <si>
    <t>Total knee replacement (arthroplasty)</t>
  </si>
  <si>
    <t>Closed treatment of distal fibular fracture; without manipulation</t>
  </si>
  <si>
    <t>Closed treatment of metatarsal fracture; without manipulation</t>
  </si>
  <si>
    <t>Arthroscopic shoulder surgical procedure for subacromial decompression</t>
  </si>
  <si>
    <t>Arthroscopic shoulder rotator cuff repair</t>
  </si>
  <si>
    <t>lumbar puncture</t>
  </si>
  <si>
    <t>CT Chest</t>
  </si>
  <si>
    <t>cardiovascular magnetic resonance imaging</t>
  </si>
  <si>
    <t>Cardiac MRI</t>
  </si>
  <si>
    <t>Cardiac CTA</t>
  </si>
  <si>
    <t>abdominal ultrasound</t>
  </si>
  <si>
    <t>Lipid Panel (Total, HDL, Triglycerides, and calculated LDL)</t>
  </si>
  <si>
    <t>Prothrombin gene mutation</t>
  </si>
  <si>
    <t>Factor V Leiden</t>
  </si>
  <si>
    <t>Total cholesterol, serum</t>
  </si>
  <si>
    <t>Prostaglandin D2 (lab-dependent methodology)</t>
  </si>
  <si>
    <t>Creatinine (needed for normalization)</t>
  </si>
  <si>
    <t>IgE (total)</t>
  </si>
  <si>
    <t>5-HIAA (sometimes used in differential)</t>
  </si>
  <si>
    <t>Tryptase</t>
  </si>
  <si>
    <t>Lipoprotein, direct measurement; high-density cholesterol (HDL)</t>
  </si>
  <si>
    <t>Triglycerides</t>
  </si>
  <si>
    <t>CBC</t>
  </si>
  <si>
    <t>Clotting factors (selective use)</t>
  </si>
  <si>
    <t>Antithrombin III</t>
  </si>
  <si>
    <t>Protein C / S</t>
  </si>
  <si>
    <t>D-dimer</t>
  </si>
  <si>
    <t>Fibrinogen</t>
  </si>
  <si>
    <t>Coagulation interpretation/report</t>
  </si>
  <si>
    <t>Platelet function assay (PFA-100/200)</t>
  </si>
  <si>
    <t>Platelet aggregation studies</t>
  </si>
  <si>
    <t>PT/INR</t>
  </si>
  <si>
    <t>ESR</t>
  </si>
  <si>
    <t>aPTT</t>
  </si>
  <si>
    <t>ANA</t>
  </si>
  <si>
    <t>CRP</t>
  </si>
  <si>
    <t>Anticardiolipin antibodies (IgG/IgM)</t>
  </si>
  <si>
    <t>Beta-2 glycoprotein</t>
  </si>
  <si>
    <t>C3</t>
  </si>
  <si>
    <t>C4</t>
  </si>
  <si>
    <t>CH50</t>
  </si>
  <si>
    <t>ENA panel</t>
  </si>
  <si>
    <t>N-protein</t>
  </si>
  <si>
    <t>T cells (CD3)</t>
  </si>
  <si>
    <t>NK cells</t>
  </si>
  <si>
    <t>CD4/CD8 subsets</t>
  </si>
  <si>
    <t>EBV antibodies</t>
  </si>
  <si>
    <t>serology for Covid</t>
  </si>
  <si>
    <t>Viral serologies (lab dependent)</t>
  </si>
  <si>
    <t>Surgical pathology, gross and microscopic examination (nerve biopsy)</t>
  </si>
  <si>
    <t>Immunohistochemistry stains often used to visualize nerve fibers (e.g., PGP 9.5)</t>
  </si>
  <si>
    <t>Morphometric analysis for nerve density (specifically for intra-epidermal nerve fiber density)</t>
  </si>
  <si>
    <t>Pure tone audiogram</t>
  </si>
  <si>
    <t>Tympanometry and acoustic reflex threshold measurements</t>
  </si>
  <si>
    <t>Comprehensive audiometry, including air, bone, and speech</t>
  </si>
  <si>
    <t>Distortion product otoacoustic emissions, comprehensive diagnostic evaluation</t>
  </si>
  <si>
    <t>comprehensive tinnitus assessment</t>
  </si>
  <si>
    <t>ECG</t>
  </si>
  <si>
    <t>Rhythm ECG (limited, interpretation dependent)</t>
  </si>
  <si>
    <t>Holter monitor (24-48 hr ECG)</t>
  </si>
  <si>
    <t>continuous cardiac monitoring and detection</t>
  </si>
  <si>
    <t>complete transthoracic echocardiogram (TTE) for congenital cardiac anomalies</t>
  </si>
  <si>
    <t>Echocardiogram</t>
  </si>
  <si>
    <t>Tilt table test (with continuous monitoring)</t>
  </si>
  <si>
    <t>Pulse oximetry (spot / overnight, sometimes used adjunctively)</t>
  </si>
  <si>
    <t>EEG (if syncope vs seizure differentiation is needed)</t>
  </si>
  <si>
    <t>Needle EMG</t>
  </si>
  <si>
    <t>Nerve conduction studies (depending on number of nerves tested)</t>
  </si>
  <si>
    <t>Cardiovagal (heart rate variability with deep breathing)</t>
  </si>
  <si>
    <t>Vasomotor adrenergic function (e.g., BP response to Valsalva or tilt)</t>
  </si>
  <si>
    <t>Sudomotor function (QSART)</t>
  </si>
  <si>
    <t>Combined assessment of the autonomic nervous system</t>
  </si>
  <si>
    <t>Quantitative autonomic function testing of parasympathetic and sympathetic functions</t>
  </si>
  <si>
    <t>Neuropsychological testing (sometimes used depending on setup)</t>
  </si>
  <si>
    <t xml:space="preserve"> Developmental screening, per standardized instrument, with scoring and documentation. </t>
  </si>
  <si>
    <t xml:space="preserve"> Deleted; old code for developmental testing, per hour / extended developmental testing</t>
  </si>
  <si>
    <t xml:space="preserve"> Developmental test administration, first hour. </t>
  </si>
  <si>
    <t xml:space="preserve"> Developmental test administration, each additional 30 minutes. </t>
  </si>
  <si>
    <t xml:space="preserve"> Neurobehavioral status exam, first hour. </t>
  </si>
  <si>
    <t xml:space="preserve"> Neurobehavioral status exam, each additional hour. </t>
  </si>
  <si>
    <t xml:space="preserve"> Standardized cognitive performance testing, per hour. </t>
  </si>
  <si>
    <t xml:space="preserve"> Brief emotional/behavioral assessment, per standardized instrument, with scoring and documentation. </t>
  </si>
  <si>
    <t xml:space="preserve"> Psychological testing evaluation services, first hour. </t>
  </si>
  <si>
    <t xml:space="preserve"> Psychological testing evaluation services, each additional hour. </t>
  </si>
  <si>
    <t xml:space="preserve"> Neuropsychological testing evaluation services, first hour. </t>
  </si>
  <si>
    <t xml:space="preserve"> Neuropsychological testing evaluation services, each additional hour. </t>
  </si>
  <si>
    <t xml:space="preserve"> Psychological or neuropsychological test administration and scoring first 30 minutes. </t>
  </si>
  <si>
    <t xml:space="preserve"> Psychological or neuropsychological test administration and scoring each additional 30 minutes. </t>
  </si>
  <si>
    <t xml:space="preserve"> Psychological or neuropsychological test administration and scoring by technician, first 30 minutes. </t>
  </si>
  <si>
    <t xml:space="preserve"> Psychological or neuropsychological test administration and scoring by technician, each additional 30 minutes. </t>
  </si>
  <si>
    <t xml:space="preserve"> Psychological or neuropsychological test administration with single automated standardized instrument via electronic platform</t>
  </si>
  <si>
    <t>Highest R^2</t>
  </si>
  <si>
    <t>Max R^2</t>
  </si>
  <si>
    <t>Min BIC</t>
  </si>
  <si>
    <t>Lowest 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</si>
</sst>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1F12-7849-4430-ACD1-D2BB2A43011D}">
  <dimension ref="A1:AJ134"/>
  <sheetViews>
    <sheetView tabSelected="1" topLeftCell="U1" workbookViewId="0">
      <selection activeCell="AJ2" sqref="AJ2"/>
    </sheetView>
  </sheetViews>
  <sheetFormatPr baseColWidth="10" defaultColWidth="8.83203125" defaultRowHeight="15" x14ac:dyDescent="0.2"/>
  <cols>
    <col min="1" max="1" width="12.5" bestFit="1" customWidth="1"/>
    <col min="2" max="2" width="116.6640625" bestFit="1" customWidth="1"/>
    <col min="3" max="3" width="16.5" bestFit="1" customWidth="1"/>
    <col min="4" max="4" width="15.5" bestFit="1" customWidth="1"/>
    <col min="5" max="5" width="15.6640625" bestFit="1" customWidth="1"/>
    <col min="6" max="6" width="16.5" bestFit="1" customWidth="1"/>
    <col min="7" max="7" width="15.5" bestFit="1" customWidth="1"/>
    <col min="8" max="8" width="14.5" bestFit="1" customWidth="1"/>
    <col min="9" max="9" width="14.6640625" bestFit="1" customWidth="1"/>
    <col min="10" max="10" width="15.5" bestFit="1" customWidth="1"/>
    <col min="11" max="11" width="18.1640625" bestFit="1" customWidth="1"/>
    <col min="12" max="12" width="11.5" bestFit="1" customWidth="1"/>
    <col min="13" max="13" width="16.5" bestFit="1" customWidth="1"/>
    <col min="14" max="14" width="15.5" bestFit="1" customWidth="1"/>
    <col min="15" max="15" width="15.6640625" bestFit="1" customWidth="1"/>
    <col min="16" max="16" width="16.5" bestFit="1" customWidth="1"/>
    <col min="17" max="17" width="15.5" bestFit="1" customWidth="1"/>
    <col min="18" max="18" width="14.5" bestFit="1" customWidth="1"/>
    <col min="19" max="19" width="14.6640625" bestFit="1" customWidth="1"/>
    <col min="20" max="20" width="15.5" bestFit="1" customWidth="1"/>
    <col min="21" max="21" width="18.1640625" bestFit="1" customWidth="1"/>
    <col min="22" max="22" width="11.5" bestFit="1" customWidth="1"/>
    <col min="23" max="23" width="16.5" bestFit="1" customWidth="1"/>
    <col min="24" max="24" width="15.5" bestFit="1" customWidth="1"/>
    <col min="25" max="25" width="15.6640625" bestFit="1" customWidth="1"/>
    <col min="26" max="26" width="16.5" bestFit="1" customWidth="1"/>
    <col min="27" max="27" width="15.5" bestFit="1" customWidth="1"/>
    <col min="28" max="28" width="14.5" bestFit="1" customWidth="1"/>
    <col min="29" max="29" width="14.6640625" bestFit="1" customWidth="1"/>
    <col min="30" max="30" width="15.5" bestFit="1" customWidth="1"/>
    <col min="31" max="31" width="18.1640625" bestFit="1" customWidth="1"/>
    <col min="32" max="32" width="11.5" bestFit="1" customWidth="1"/>
    <col min="33" max="33" width="11.5" customWidth="1"/>
    <col min="34" max="34" width="11.33203125" bestFit="1" customWidth="1"/>
    <col min="35" max="35" width="10.83203125" bestFit="1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133</v>
      </c>
      <c r="AH1" t="s">
        <v>132</v>
      </c>
      <c r="AI1" t="s">
        <v>134</v>
      </c>
      <c r="AJ1" t="s">
        <v>135</v>
      </c>
    </row>
    <row r="2" spans="1:36" x14ac:dyDescent="0.2">
      <c r="A2">
        <v>11102</v>
      </c>
      <c r="B2" t="s">
        <v>32</v>
      </c>
      <c r="C2">
        <v>8086.5466999999999</v>
      </c>
      <c r="D2">
        <v>-45.196100000000001</v>
      </c>
      <c r="E2">
        <v>3569.0736999999999</v>
      </c>
      <c r="F2">
        <v>78.279499999999999</v>
      </c>
      <c r="G2" s="1">
        <v>5.8999999999999996E-45</v>
      </c>
      <c r="H2">
        <v>0.42980000000000002</v>
      </c>
      <c r="I2">
        <v>3.8E-3</v>
      </c>
      <c r="J2">
        <v>0.21279999999999999</v>
      </c>
      <c r="K2">
        <v>0.46339999999999998</v>
      </c>
      <c r="L2">
        <v>1206.54</v>
      </c>
      <c r="M2">
        <v>9387.4509999999991</v>
      </c>
      <c r="N2">
        <v>-258.91669999999999</v>
      </c>
      <c r="O2">
        <v>3923.2105999999999</v>
      </c>
      <c r="P2">
        <v>327.2826</v>
      </c>
      <c r="Q2" s="1">
        <v>2.5700000000000002E-18</v>
      </c>
      <c r="R2">
        <v>6.4299999999999996E-2</v>
      </c>
      <c r="S2">
        <v>1.0500000000000001E-2</v>
      </c>
      <c r="T2">
        <v>2.1899999999999999E-2</v>
      </c>
      <c r="U2">
        <v>0.48010000000000003</v>
      </c>
      <c r="V2">
        <v>1204.4537</v>
      </c>
      <c r="W2">
        <v>7951.1368000000002</v>
      </c>
      <c r="X2">
        <v>-27.8171</v>
      </c>
      <c r="Y2">
        <v>3980.7905999999998</v>
      </c>
      <c r="Z2">
        <v>40.2622</v>
      </c>
      <c r="AA2" s="1">
        <v>2.0200000000000001E-47</v>
      </c>
      <c r="AB2">
        <v>0.48659999999999998</v>
      </c>
      <c r="AC2" s="1">
        <v>5.9500000000000003E-5</v>
      </c>
      <c r="AD2">
        <v>0.3921</v>
      </c>
      <c r="AE2">
        <v>0.49440000000000001</v>
      </c>
      <c r="AF2">
        <v>1202.6044999999999</v>
      </c>
      <c r="AG2">
        <f>MAX(K2,U2,AE2)</f>
        <v>0.49440000000000001</v>
      </c>
      <c r="AH2" t="str">
        <f>IF(AG2=K2,"Jan 2021", IF(AG2=U2,"Jun 2020", IF(AG2=AE2,"Mar 2021")))</f>
        <v>Mar 2021</v>
      </c>
      <c r="AI2">
        <f>MIN(L2,V2,AF2)</f>
        <v>1202.6044999999999</v>
      </c>
      <c r="AJ2" t="str">
        <f>IF(AI2=L2,"Jan 2021", IF(AI2=V2,"Jun 2020", IF(AI2=AF2,"Mar 2021")))</f>
        <v>Mar 2021</v>
      </c>
    </row>
    <row r="3" spans="1:36" x14ac:dyDescent="0.2">
      <c r="A3">
        <v>11103</v>
      </c>
      <c r="B3" t="s">
        <v>33</v>
      </c>
      <c r="C3">
        <v>821.77</v>
      </c>
      <c r="D3">
        <v>-2.5017</v>
      </c>
      <c r="E3">
        <v>347.14400000000001</v>
      </c>
      <c r="F3">
        <v>5.7279999999999998</v>
      </c>
      <c r="G3" s="1">
        <v>2.6499999999999998E-24</v>
      </c>
      <c r="H3">
        <v>0.66369999999999996</v>
      </c>
      <c r="I3">
        <v>5.8999999999999999E-3</v>
      </c>
      <c r="J3">
        <v>0.38919999999999999</v>
      </c>
      <c r="K3">
        <v>0.37680000000000002</v>
      </c>
      <c r="L3">
        <v>929.46810000000005</v>
      </c>
      <c r="M3">
        <v>892.15689999999995</v>
      </c>
      <c r="N3">
        <v>-14.1373</v>
      </c>
      <c r="O3">
        <v>280.61320000000001</v>
      </c>
      <c r="P3">
        <v>21.4816</v>
      </c>
      <c r="Q3" s="1">
        <v>1.7600000000000001E-13</v>
      </c>
      <c r="R3">
        <v>0.38240000000000002</v>
      </c>
      <c r="S3">
        <v>0.1328</v>
      </c>
      <c r="T3">
        <v>0.1938</v>
      </c>
      <c r="U3">
        <v>0.34470000000000001</v>
      </c>
      <c r="V3">
        <v>932.77650000000006</v>
      </c>
      <c r="W3">
        <v>816.13679999999999</v>
      </c>
      <c r="X3">
        <v>-1.7925</v>
      </c>
      <c r="Y3">
        <v>412.96370000000002</v>
      </c>
      <c r="Z3">
        <v>2.5417999999999998</v>
      </c>
      <c r="AA3" s="1">
        <v>3.7799999999999999E-25</v>
      </c>
      <c r="AB3">
        <v>0.68479999999999996</v>
      </c>
      <c r="AC3">
        <v>1E-4</v>
      </c>
      <c r="AD3">
        <v>0.63959999999999995</v>
      </c>
      <c r="AE3">
        <v>0.41439999999999999</v>
      </c>
      <c r="AF3">
        <v>925.35659999999996</v>
      </c>
      <c r="AG3">
        <f t="shared" ref="AG3:AG66" si="0">MAX(K3,U3,AE3)</f>
        <v>0.41439999999999999</v>
      </c>
      <c r="AH3" t="str">
        <f t="shared" ref="AH3:AH66" si="1">IF(AG3=K3,"Jan 2021", IF(AG3=U3,"Jun 2020", IF(AG3=AE3,"Mar 2021")))</f>
        <v>Mar 2021</v>
      </c>
      <c r="AI3">
        <f t="shared" ref="AI3:AI66" si="2">MIN(L3,V3,AF3)</f>
        <v>925.35659999999996</v>
      </c>
      <c r="AJ3" t="str">
        <f t="shared" ref="AJ3:AJ66" si="3">IF(AI3=L3,"Jan 2021", IF(AI3=V3,"Jun 2020", IF(AI3=AF3,"Mar 2021")))</f>
        <v>Mar 2021</v>
      </c>
    </row>
    <row r="4" spans="1:36" x14ac:dyDescent="0.2">
      <c r="A4">
        <v>11104</v>
      </c>
      <c r="B4" t="s">
        <v>34</v>
      </c>
      <c r="C4">
        <v>1314.7166999999999</v>
      </c>
      <c r="D4">
        <v>-14.047800000000001</v>
      </c>
      <c r="E4">
        <v>215.1557</v>
      </c>
      <c r="F4">
        <v>13.522399999999999</v>
      </c>
      <c r="G4" s="1">
        <v>4.6399999999999999E-111</v>
      </c>
      <c r="H4">
        <v>2.4299999999999999E-2</v>
      </c>
      <c r="I4">
        <v>0.1573</v>
      </c>
      <c r="J4">
        <v>5.2900000000000003E-2</v>
      </c>
      <c r="K4">
        <v>6.1600000000000002E-2</v>
      </c>
      <c r="L4">
        <v>929.19410000000005</v>
      </c>
      <c r="M4">
        <v>1441.3724999999999</v>
      </c>
      <c r="N4">
        <v>-34.318600000000004</v>
      </c>
      <c r="O4">
        <v>270.77140000000003</v>
      </c>
      <c r="P4">
        <v>35.1845</v>
      </c>
      <c r="Q4" s="1">
        <v>3.78E-56</v>
      </c>
      <c r="R4">
        <v>4.4499999999999998E-2</v>
      </c>
      <c r="S4">
        <v>0.1938</v>
      </c>
      <c r="T4">
        <v>4.2500000000000003E-2</v>
      </c>
      <c r="U4">
        <v>0.11840000000000001</v>
      </c>
      <c r="V4">
        <v>925.07600000000002</v>
      </c>
      <c r="W4">
        <v>1295.9486999999999</v>
      </c>
      <c r="X4">
        <v>-11.6236</v>
      </c>
      <c r="Y4">
        <v>218.2141</v>
      </c>
      <c r="Z4">
        <v>10.4359</v>
      </c>
      <c r="AA4" s="1">
        <v>5.1699999999999998E-104</v>
      </c>
      <c r="AB4">
        <v>9.5999999999999992E-3</v>
      </c>
      <c r="AC4">
        <v>0.12659999999999999</v>
      </c>
      <c r="AD4">
        <v>8.0199999999999994E-2</v>
      </c>
      <c r="AE4">
        <v>5.8299999999999998E-2</v>
      </c>
      <c r="AF4">
        <v>929.42550000000006</v>
      </c>
      <c r="AG4">
        <f t="shared" si="0"/>
        <v>0.11840000000000001</v>
      </c>
      <c r="AH4" t="str">
        <f t="shared" si="1"/>
        <v>Jun 2020</v>
      </c>
      <c r="AI4">
        <f t="shared" si="2"/>
        <v>925.07600000000002</v>
      </c>
      <c r="AJ4" t="str">
        <f t="shared" si="3"/>
        <v>Jun 2020</v>
      </c>
    </row>
    <row r="5" spans="1:36" x14ac:dyDescent="0.2">
      <c r="A5">
        <v>11105</v>
      </c>
      <c r="B5" t="s">
        <v>35</v>
      </c>
      <c r="C5">
        <v>333.42669999999998</v>
      </c>
      <c r="D5">
        <v>-3.8052000000000001</v>
      </c>
      <c r="E5">
        <v>-116.41889999999999</v>
      </c>
      <c r="F5">
        <v>3.2808999999999999</v>
      </c>
      <c r="G5" s="1">
        <v>3.6500000000000001E-22</v>
      </c>
      <c r="H5">
        <v>8.6699999999999999E-2</v>
      </c>
      <c r="I5">
        <v>1.6999999999999999E-3</v>
      </c>
      <c r="J5">
        <v>0.1545</v>
      </c>
      <c r="K5">
        <v>0.66139999999999999</v>
      </c>
      <c r="L5">
        <v>744.9556</v>
      </c>
      <c r="M5">
        <v>293.74509999999998</v>
      </c>
      <c r="N5">
        <v>3.0097999999999998</v>
      </c>
      <c r="O5">
        <v>-162.41470000000001</v>
      </c>
      <c r="P5">
        <v>-4.8716999999999997</v>
      </c>
      <c r="Q5" s="1">
        <v>8.0400000000000004E-18</v>
      </c>
      <c r="R5">
        <v>0.55640000000000001</v>
      </c>
      <c r="S5">
        <v>7.4999999999999997E-3</v>
      </c>
      <c r="T5">
        <v>0.34439999999999998</v>
      </c>
      <c r="U5">
        <v>0.66400000000000003</v>
      </c>
      <c r="V5">
        <v>744.45989999999995</v>
      </c>
      <c r="W5">
        <v>345.05130000000003</v>
      </c>
      <c r="X5">
        <v>-5.2872000000000003</v>
      </c>
      <c r="Y5">
        <v>-89.106399999999994</v>
      </c>
      <c r="Z5">
        <v>4.9375999999999998</v>
      </c>
      <c r="AA5" s="1">
        <v>6.6899999999999999E-21</v>
      </c>
      <c r="AB5">
        <v>1.34E-2</v>
      </c>
      <c r="AC5">
        <v>2.1299999999999999E-2</v>
      </c>
      <c r="AD5">
        <v>2.47E-2</v>
      </c>
      <c r="AE5">
        <v>0.64670000000000005</v>
      </c>
      <c r="AF5">
        <v>747.75919999999996</v>
      </c>
      <c r="AG5">
        <f t="shared" si="0"/>
        <v>0.66400000000000003</v>
      </c>
      <c r="AH5" t="str">
        <f t="shared" si="1"/>
        <v>Jun 2020</v>
      </c>
      <c r="AI5">
        <f t="shared" si="2"/>
        <v>744.45989999999995</v>
      </c>
      <c r="AJ5" t="str">
        <f t="shared" si="3"/>
        <v>Jun 2020</v>
      </c>
    </row>
    <row r="6" spans="1:36" x14ac:dyDescent="0.2">
      <c r="A6">
        <v>11106</v>
      </c>
      <c r="B6" t="s">
        <v>36</v>
      </c>
      <c r="C6">
        <v>183.9667</v>
      </c>
      <c r="D6">
        <v>10.0174</v>
      </c>
      <c r="E6">
        <v>76.713499999999996</v>
      </c>
      <c r="F6">
        <v>-13.758699999999999</v>
      </c>
      <c r="G6" s="1">
        <v>1.18E-17</v>
      </c>
      <c r="H6" s="1">
        <v>5.02E-8</v>
      </c>
      <c r="I6">
        <v>0.28670000000000001</v>
      </c>
      <c r="J6" s="1">
        <v>3.9900000000000001E-5</v>
      </c>
      <c r="K6">
        <v>0.224</v>
      </c>
      <c r="L6">
        <v>859.49620000000004</v>
      </c>
      <c r="M6">
        <v>210.1961</v>
      </c>
      <c r="N6">
        <v>5.1151999999999997</v>
      </c>
      <c r="O6">
        <v>181.13679999999999</v>
      </c>
      <c r="P6">
        <v>-7.5867000000000004</v>
      </c>
      <c r="Q6" s="1">
        <v>5.4600000000000004E-22</v>
      </c>
      <c r="R6">
        <v>2.0799999999999999E-2</v>
      </c>
      <c r="S6">
        <v>2.0000000000000001E-4</v>
      </c>
      <c r="T6">
        <v>1.0200000000000001E-2</v>
      </c>
      <c r="U6">
        <v>0.2258</v>
      </c>
      <c r="V6">
        <v>859.34180000000003</v>
      </c>
      <c r="W6">
        <v>198.65809999999999</v>
      </c>
      <c r="X6">
        <v>8.1565999999999992</v>
      </c>
      <c r="Y6">
        <v>116.2927</v>
      </c>
      <c r="Z6">
        <v>-13.2098</v>
      </c>
      <c r="AA6" s="1">
        <v>2.71E-21</v>
      </c>
      <c r="AB6" s="1">
        <v>2.6299999999999999E-5</v>
      </c>
      <c r="AC6">
        <v>0.13489999999999999</v>
      </c>
      <c r="AD6">
        <v>2.9999999999999997E-4</v>
      </c>
      <c r="AE6">
        <v>0.252</v>
      </c>
      <c r="AF6">
        <v>857.06830000000002</v>
      </c>
      <c r="AG6">
        <f t="shared" si="0"/>
        <v>0.252</v>
      </c>
      <c r="AH6" t="str">
        <f t="shared" si="1"/>
        <v>Mar 2021</v>
      </c>
      <c r="AI6">
        <f t="shared" si="2"/>
        <v>857.06830000000002</v>
      </c>
      <c r="AJ6" t="str">
        <f t="shared" si="3"/>
        <v>Mar 2021</v>
      </c>
    </row>
    <row r="7" spans="1:36" x14ac:dyDescent="0.2">
      <c r="A7">
        <v>11107</v>
      </c>
      <c r="B7" t="s">
        <v>37</v>
      </c>
      <c r="C7">
        <v>51.046700000000001</v>
      </c>
      <c r="D7">
        <v>-0.91349999999999998</v>
      </c>
      <c r="E7">
        <v>77.239800000000002</v>
      </c>
      <c r="F7">
        <v>-0.1714</v>
      </c>
      <c r="G7" s="1">
        <v>7.7900000000000003E-8</v>
      </c>
      <c r="H7">
        <v>0.1636</v>
      </c>
      <c r="I7">
        <v>1.0500000000000001E-2</v>
      </c>
      <c r="J7">
        <v>0.89280000000000004</v>
      </c>
      <c r="K7">
        <v>0.15820000000000001</v>
      </c>
      <c r="L7">
        <v>732.10919999999999</v>
      </c>
      <c r="M7">
        <v>51.392200000000003</v>
      </c>
      <c r="N7">
        <v>-0.81369999999999998</v>
      </c>
      <c r="O7">
        <v>34.290700000000001</v>
      </c>
      <c r="P7">
        <v>0.95699999999999996</v>
      </c>
      <c r="Q7" s="1">
        <v>1.73E-6</v>
      </c>
      <c r="R7">
        <v>0.56850000000000001</v>
      </c>
      <c r="S7">
        <v>0.18529999999999999</v>
      </c>
      <c r="T7">
        <v>0.56240000000000001</v>
      </c>
      <c r="U7">
        <v>5.5100000000000003E-2</v>
      </c>
      <c r="V7">
        <v>739.73530000000005</v>
      </c>
      <c r="W7">
        <v>52.546999999999997</v>
      </c>
      <c r="X7">
        <v>-1.1052999999999999</v>
      </c>
      <c r="Y7">
        <v>98.943200000000004</v>
      </c>
      <c r="Z7">
        <v>-0.67800000000000005</v>
      </c>
      <c r="AA7" s="1">
        <v>4.2699999999999999E-8</v>
      </c>
      <c r="AB7">
        <v>4.8899999999999999E-2</v>
      </c>
      <c r="AC7">
        <v>1.5E-3</v>
      </c>
      <c r="AD7">
        <v>0.59719999999999995</v>
      </c>
      <c r="AE7">
        <v>0.23899999999999999</v>
      </c>
      <c r="AF7">
        <v>725.44659999999999</v>
      </c>
      <c r="AG7">
        <f t="shared" si="0"/>
        <v>0.23899999999999999</v>
      </c>
      <c r="AH7" t="str">
        <f t="shared" si="1"/>
        <v>Mar 2021</v>
      </c>
      <c r="AI7">
        <f t="shared" si="2"/>
        <v>725.44659999999999</v>
      </c>
      <c r="AJ7" t="str">
        <f t="shared" si="3"/>
        <v>Mar 2021</v>
      </c>
    </row>
    <row r="8" spans="1:36" x14ac:dyDescent="0.2">
      <c r="A8">
        <v>23500</v>
      </c>
      <c r="B8" t="s">
        <v>38</v>
      </c>
      <c r="C8">
        <v>13.923400000000001</v>
      </c>
      <c r="D8">
        <v>-0.2671</v>
      </c>
      <c r="E8">
        <v>10.8346</v>
      </c>
      <c r="F8">
        <v>1.0086999999999999</v>
      </c>
      <c r="G8">
        <v>1.4E-3</v>
      </c>
      <c r="H8">
        <v>0.159</v>
      </c>
      <c r="I8">
        <v>0.104</v>
      </c>
      <c r="J8">
        <v>1E-3</v>
      </c>
      <c r="K8">
        <v>0.45</v>
      </c>
      <c r="L8">
        <v>654.34130000000005</v>
      </c>
      <c r="M8">
        <v>10.6</v>
      </c>
      <c r="N8">
        <v>6.3100000000000003E-2</v>
      </c>
      <c r="O8">
        <v>-8.9215999999999998</v>
      </c>
      <c r="P8">
        <v>0.87429999999999997</v>
      </c>
      <c r="Q8">
        <v>3.6600000000000001E-2</v>
      </c>
      <c r="R8">
        <v>0.83089999999999997</v>
      </c>
      <c r="S8">
        <v>0.1648</v>
      </c>
      <c r="T8">
        <v>1.0500000000000001E-2</v>
      </c>
      <c r="U8">
        <v>0.44290000000000002</v>
      </c>
      <c r="V8">
        <v>655.34910000000002</v>
      </c>
      <c r="W8">
        <v>13.7287</v>
      </c>
      <c r="X8">
        <v>-0.25130000000000002</v>
      </c>
      <c r="Y8">
        <v>14.713200000000001</v>
      </c>
      <c r="Z8">
        <v>0.90900000000000003</v>
      </c>
      <c r="AA8">
        <v>1.1999999999999999E-3</v>
      </c>
      <c r="AB8">
        <v>0.13900000000000001</v>
      </c>
      <c r="AC8">
        <v>3.3300000000000003E-2</v>
      </c>
      <c r="AD8">
        <v>3.3999999999999998E-3</v>
      </c>
      <c r="AE8">
        <v>0.4587</v>
      </c>
      <c r="AF8">
        <v>653.10249999999996</v>
      </c>
      <c r="AG8">
        <f t="shared" si="0"/>
        <v>0.4587</v>
      </c>
      <c r="AH8" t="str">
        <f t="shared" si="1"/>
        <v>Mar 2021</v>
      </c>
      <c r="AI8">
        <f t="shared" si="2"/>
        <v>653.10249999999996</v>
      </c>
      <c r="AJ8" t="str">
        <f t="shared" si="3"/>
        <v>Mar 2021</v>
      </c>
    </row>
    <row r="9" spans="1:36" x14ac:dyDescent="0.2">
      <c r="A9">
        <v>25600</v>
      </c>
      <c r="B9" t="s">
        <v>39</v>
      </c>
      <c r="C9">
        <v>611.87090000000001</v>
      </c>
      <c r="D9">
        <v>-5.5894000000000004</v>
      </c>
      <c r="E9">
        <v>269.86660000000001</v>
      </c>
      <c r="F9">
        <v>6.5136000000000003</v>
      </c>
      <c r="G9" s="1">
        <v>5.1900000000000003E-12</v>
      </c>
      <c r="H9">
        <v>0.1308</v>
      </c>
      <c r="I9">
        <v>4.9299999999999997E-2</v>
      </c>
      <c r="J9">
        <v>0.30380000000000001</v>
      </c>
      <c r="K9">
        <v>0.121</v>
      </c>
      <c r="L9">
        <v>1117.6932999999999</v>
      </c>
      <c r="M9">
        <v>579.53099999999995</v>
      </c>
      <c r="N9">
        <v>-2.6265999999999998</v>
      </c>
      <c r="O9">
        <v>28.047000000000001</v>
      </c>
      <c r="P9">
        <v>7.7281000000000004</v>
      </c>
      <c r="Q9" s="1">
        <v>1.9000000000000001E-9</v>
      </c>
      <c r="R9">
        <v>0.67620000000000002</v>
      </c>
      <c r="S9">
        <v>0.85089999999999999</v>
      </c>
      <c r="T9">
        <v>0.2848</v>
      </c>
      <c r="U9">
        <v>7.5800000000000006E-2</v>
      </c>
      <c r="V9">
        <v>1121.6097</v>
      </c>
      <c r="W9">
        <v>631.79349999999999</v>
      </c>
      <c r="X9">
        <v>-7.2775999999999996</v>
      </c>
      <c r="Y9">
        <v>430.10469999999998</v>
      </c>
      <c r="Z9">
        <v>4.3018999999999998</v>
      </c>
      <c r="AA9" s="1">
        <v>1.98E-12</v>
      </c>
      <c r="AB9">
        <v>3.9800000000000002E-2</v>
      </c>
      <c r="AC9">
        <v>2.0000000000000001E-4</v>
      </c>
      <c r="AD9">
        <v>0.45029999999999998</v>
      </c>
      <c r="AE9">
        <v>0.1958</v>
      </c>
      <c r="AF9">
        <v>1110.7527</v>
      </c>
      <c r="AG9">
        <f t="shared" si="0"/>
        <v>0.1958</v>
      </c>
      <c r="AH9" t="str">
        <f t="shared" si="1"/>
        <v>Mar 2021</v>
      </c>
      <c r="AI9">
        <f t="shared" si="2"/>
        <v>1110.7527</v>
      </c>
      <c r="AJ9" t="str">
        <f t="shared" si="3"/>
        <v>Mar 2021</v>
      </c>
    </row>
    <row r="10" spans="1:36" x14ac:dyDescent="0.2">
      <c r="A10">
        <v>25605</v>
      </c>
      <c r="B10" t="s">
        <v>40</v>
      </c>
      <c r="C10">
        <v>61.8889</v>
      </c>
      <c r="D10">
        <v>-0.1905</v>
      </c>
      <c r="E10">
        <v>69.867199999999997</v>
      </c>
      <c r="F10">
        <v>-0.22009999999999999</v>
      </c>
      <c r="G10">
        <v>2.0000000000000001E-4</v>
      </c>
      <c r="H10">
        <v>0.79430000000000001</v>
      </c>
      <c r="I10">
        <v>2.1600000000000001E-2</v>
      </c>
      <c r="J10">
        <v>0.86980000000000002</v>
      </c>
      <c r="K10">
        <v>0.19220000000000001</v>
      </c>
      <c r="L10">
        <v>876.24450000000002</v>
      </c>
      <c r="M10">
        <v>60.096600000000002</v>
      </c>
      <c r="N10">
        <v>-9.8000000000000004E-2</v>
      </c>
      <c r="O10">
        <v>36.283499999999997</v>
      </c>
      <c r="P10">
        <v>0.6694</v>
      </c>
      <c r="Q10">
        <v>1.1999999999999999E-3</v>
      </c>
      <c r="R10">
        <v>0.92979999999999996</v>
      </c>
      <c r="S10">
        <v>0.23039999999999999</v>
      </c>
      <c r="T10">
        <v>0.62239999999999995</v>
      </c>
      <c r="U10">
        <v>0.13830000000000001</v>
      </c>
      <c r="V10">
        <v>881.27949999999998</v>
      </c>
      <c r="W10">
        <v>64.975700000000003</v>
      </c>
      <c r="X10">
        <v>-0.45100000000000001</v>
      </c>
      <c r="Y10">
        <v>97.639499999999998</v>
      </c>
      <c r="Z10">
        <v>-0.7661</v>
      </c>
      <c r="AA10">
        <v>1E-4</v>
      </c>
      <c r="AB10">
        <v>0.50539999999999996</v>
      </c>
      <c r="AC10">
        <v>2.0000000000000001E-4</v>
      </c>
      <c r="AD10">
        <v>0.52700000000000002</v>
      </c>
      <c r="AE10">
        <v>0.26169999999999999</v>
      </c>
      <c r="AF10">
        <v>869.22770000000003</v>
      </c>
      <c r="AG10">
        <f t="shared" si="0"/>
        <v>0.26169999999999999</v>
      </c>
      <c r="AH10" t="str">
        <f t="shared" si="1"/>
        <v>Mar 2021</v>
      </c>
      <c r="AI10">
        <f t="shared" si="2"/>
        <v>869.22770000000003</v>
      </c>
      <c r="AJ10" t="str">
        <f t="shared" si="3"/>
        <v>Mar 2021</v>
      </c>
    </row>
    <row r="11" spans="1:36" x14ac:dyDescent="0.2">
      <c r="A11">
        <v>27447</v>
      </c>
      <c r="B11" t="s">
        <v>41</v>
      </c>
      <c r="C11">
        <v>54.174199999999999</v>
      </c>
      <c r="D11">
        <v>0.12970000000000001</v>
      </c>
      <c r="E11">
        <v>98.926400000000001</v>
      </c>
      <c r="F11">
        <v>5.9866000000000001</v>
      </c>
      <c r="G11" s="1">
        <v>1.03E-7</v>
      </c>
      <c r="H11">
        <v>0.82940000000000003</v>
      </c>
      <c r="I11">
        <v>1E-3</v>
      </c>
      <c r="J11" s="1">
        <v>4.5500000000000001E-5</v>
      </c>
      <c r="K11">
        <v>0.75760000000000005</v>
      </c>
      <c r="L11">
        <v>906.98950000000002</v>
      </c>
      <c r="M11">
        <v>70.289699999999996</v>
      </c>
      <c r="N11">
        <v>-1.4787999999999999</v>
      </c>
      <c r="O11">
        <v>58.38</v>
      </c>
      <c r="P11">
        <v>8.3866999999999994</v>
      </c>
      <c r="Q11" s="1">
        <v>1.72E-13</v>
      </c>
      <c r="R11">
        <v>1.47E-2</v>
      </c>
      <c r="S11">
        <v>1.14E-2</v>
      </c>
      <c r="T11" s="1">
        <v>2.9599999999999999E-12</v>
      </c>
      <c r="U11">
        <v>0.75629999999999997</v>
      </c>
      <c r="V11">
        <v>907.40769999999998</v>
      </c>
      <c r="W11">
        <v>52.769199999999998</v>
      </c>
      <c r="X11">
        <v>0.24859999999999999</v>
      </c>
      <c r="Y11">
        <v>127.52849999999999</v>
      </c>
      <c r="Z11">
        <v>5.1368999999999998</v>
      </c>
      <c r="AA11" s="1">
        <v>4.0399999999999998E-8</v>
      </c>
      <c r="AB11">
        <v>0.62219999999999998</v>
      </c>
      <c r="AC11" s="1">
        <v>5.6799999999999998E-6</v>
      </c>
      <c r="AD11">
        <v>4.0000000000000002E-4</v>
      </c>
      <c r="AE11">
        <v>0.76970000000000005</v>
      </c>
      <c r="AF11">
        <v>902.96889999999996</v>
      </c>
      <c r="AG11">
        <f t="shared" si="0"/>
        <v>0.76970000000000005</v>
      </c>
      <c r="AH11" t="str">
        <f t="shared" si="1"/>
        <v>Mar 2021</v>
      </c>
      <c r="AI11">
        <f t="shared" si="2"/>
        <v>902.96889999999996</v>
      </c>
      <c r="AJ11" t="str">
        <f t="shared" si="3"/>
        <v>Mar 2021</v>
      </c>
    </row>
    <row r="12" spans="1:36" x14ac:dyDescent="0.2">
      <c r="A12">
        <v>27786</v>
      </c>
      <c r="B12" t="s">
        <v>42</v>
      </c>
      <c r="C12">
        <v>67.708699999999993</v>
      </c>
      <c r="D12">
        <v>-1.2802</v>
      </c>
      <c r="E12">
        <v>16.060400000000001</v>
      </c>
      <c r="F12">
        <v>2.0870000000000002</v>
      </c>
      <c r="G12" s="1">
        <v>4.0200000000000003E-7</v>
      </c>
      <c r="H12">
        <v>2.7799999999999998E-2</v>
      </c>
      <c r="I12">
        <v>0.25940000000000002</v>
      </c>
      <c r="J12">
        <v>3.5000000000000001E-3</v>
      </c>
      <c r="K12">
        <v>0.14549999999999999</v>
      </c>
      <c r="L12">
        <v>774.28409999999997</v>
      </c>
      <c r="M12">
        <v>55.855200000000004</v>
      </c>
      <c r="N12">
        <v>-0.12509999999999999</v>
      </c>
      <c r="O12">
        <v>-32.991999999999997</v>
      </c>
      <c r="P12">
        <v>1.3320000000000001</v>
      </c>
      <c r="Q12" s="1">
        <v>3.8300000000000003E-5</v>
      </c>
      <c r="R12">
        <v>0.87409999999999999</v>
      </c>
      <c r="S12">
        <v>2.7099999999999999E-2</v>
      </c>
      <c r="T12">
        <v>0.1164</v>
      </c>
      <c r="U12">
        <v>0.1678</v>
      </c>
      <c r="V12">
        <v>772.2174</v>
      </c>
      <c r="W12">
        <v>67.805700000000002</v>
      </c>
      <c r="X12">
        <v>-1.2882</v>
      </c>
      <c r="Y12">
        <v>24.692900000000002</v>
      </c>
      <c r="Z12">
        <v>1.9365000000000001</v>
      </c>
      <c r="AA12" s="1">
        <v>1.4100000000000001E-7</v>
      </c>
      <c r="AB12">
        <v>1.1599999999999999E-2</v>
      </c>
      <c r="AC12">
        <v>7.5899999999999995E-2</v>
      </c>
      <c r="AD12">
        <v>4.1999999999999997E-3</v>
      </c>
      <c r="AE12">
        <v>0.15690000000000001</v>
      </c>
      <c r="AF12">
        <v>773.23929999999996</v>
      </c>
      <c r="AG12">
        <f t="shared" si="0"/>
        <v>0.1678</v>
      </c>
      <c r="AH12" t="str">
        <f t="shared" si="1"/>
        <v>Jun 2020</v>
      </c>
      <c r="AI12">
        <f t="shared" si="2"/>
        <v>772.2174</v>
      </c>
      <c r="AJ12" t="str">
        <f t="shared" si="3"/>
        <v>Jun 2020</v>
      </c>
    </row>
    <row r="13" spans="1:36" x14ac:dyDescent="0.2">
      <c r="A13">
        <v>28470</v>
      </c>
      <c r="B13" t="s">
        <v>43</v>
      </c>
      <c r="C13">
        <v>26.367899999999999</v>
      </c>
      <c r="D13">
        <v>5.6800000000000003E-2</v>
      </c>
      <c r="E13">
        <v>7.9173999999999998</v>
      </c>
      <c r="F13">
        <v>0.91069999999999995</v>
      </c>
      <c r="G13" s="1">
        <v>7.5099999999999996E-5</v>
      </c>
      <c r="H13">
        <v>0.88170000000000004</v>
      </c>
      <c r="I13">
        <v>0.47689999999999999</v>
      </c>
      <c r="J13">
        <v>7.7600000000000002E-2</v>
      </c>
      <c r="K13">
        <v>0.35560000000000003</v>
      </c>
      <c r="L13">
        <v>728.37360000000001</v>
      </c>
      <c r="M13">
        <v>20.5517</v>
      </c>
      <c r="N13">
        <v>0.59609999999999996</v>
      </c>
      <c r="O13">
        <v>-13.5985</v>
      </c>
      <c r="P13">
        <v>0.53500000000000003</v>
      </c>
      <c r="Q13">
        <v>1.12E-2</v>
      </c>
      <c r="R13">
        <v>0.36259999999999998</v>
      </c>
      <c r="S13">
        <v>0.33169999999999999</v>
      </c>
      <c r="T13">
        <v>0.4511</v>
      </c>
      <c r="U13">
        <v>0.35580000000000001</v>
      </c>
      <c r="V13">
        <v>728.34609999999998</v>
      </c>
      <c r="W13">
        <v>27.4453</v>
      </c>
      <c r="X13">
        <v>-3.4000000000000002E-2</v>
      </c>
      <c r="Y13">
        <v>16.390699999999999</v>
      </c>
      <c r="Z13">
        <v>0.83879999999999999</v>
      </c>
      <c r="AA13" s="1">
        <v>1.6399999999999999E-5</v>
      </c>
      <c r="AB13">
        <v>0.91459999999999997</v>
      </c>
      <c r="AC13">
        <v>0.10829999999999999</v>
      </c>
      <c r="AD13">
        <v>7.4099999999999999E-2</v>
      </c>
      <c r="AE13">
        <v>0.36859999999999998</v>
      </c>
      <c r="AF13">
        <v>726.7817</v>
      </c>
      <c r="AG13">
        <f t="shared" si="0"/>
        <v>0.36859999999999998</v>
      </c>
      <c r="AH13" t="str">
        <f t="shared" si="1"/>
        <v>Mar 2021</v>
      </c>
      <c r="AI13">
        <f t="shared" si="2"/>
        <v>726.7817</v>
      </c>
      <c r="AJ13" t="str">
        <f t="shared" si="3"/>
        <v>Mar 2021</v>
      </c>
    </row>
    <row r="14" spans="1:36" x14ac:dyDescent="0.2">
      <c r="A14">
        <v>29826</v>
      </c>
      <c r="B14" t="s">
        <v>44</v>
      </c>
      <c r="C14">
        <v>13.0405</v>
      </c>
      <c r="D14">
        <v>0.89770000000000005</v>
      </c>
      <c r="E14">
        <v>29.5533</v>
      </c>
      <c r="F14">
        <v>-2.4674999999999998</v>
      </c>
      <c r="G14">
        <v>0.10879999999999999</v>
      </c>
      <c r="H14">
        <v>7.9299999999999995E-2</v>
      </c>
      <c r="I14">
        <v>0.1273</v>
      </c>
      <c r="J14">
        <v>5.9999999999999995E-4</v>
      </c>
      <c r="K14">
        <v>0.2109</v>
      </c>
      <c r="L14">
        <v>777.81010000000003</v>
      </c>
      <c r="M14">
        <v>21.572399999999998</v>
      </c>
      <c r="N14">
        <v>4.0399999999999998E-2</v>
      </c>
      <c r="O14">
        <v>50.610300000000002</v>
      </c>
      <c r="P14">
        <v>-1.2717000000000001</v>
      </c>
      <c r="Q14">
        <v>2E-3</v>
      </c>
      <c r="R14">
        <v>0.92079999999999995</v>
      </c>
      <c r="S14">
        <v>8.0000000000000004E-4</v>
      </c>
      <c r="T14">
        <v>2.4500000000000001E-2</v>
      </c>
      <c r="U14">
        <v>0.2263</v>
      </c>
      <c r="V14">
        <v>776.26700000000005</v>
      </c>
      <c r="W14">
        <v>6.1376999999999997</v>
      </c>
      <c r="X14">
        <v>1.4819</v>
      </c>
      <c r="Y14">
        <v>-0.32150000000000001</v>
      </c>
      <c r="Z14">
        <v>-2.6707000000000001</v>
      </c>
      <c r="AA14">
        <v>0.50729999999999997</v>
      </c>
      <c r="AB14">
        <v>9.1999999999999998E-3</v>
      </c>
      <c r="AC14">
        <v>0.9869</v>
      </c>
      <c r="AD14">
        <v>1E-3</v>
      </c>
      <c r="AE14">
        <v>0.1787</v>
      </c>
      <c r="AF14">
        <v>780.93110000000001</v>
      </c>
      <c r="AG14">
        <f t="shared" si="0"/>
        <v>0.2263</v>
      </c>
      <c r="AH14" t="str">
        <f t="shared" si="1"/>
        <v>Jun 2020</v>
      </c>
      <c r="AI14">
        <f t="shared" si="2"/>
        <v>776.26700000000005</v>
      </c>
      <c r="AJ14" t="str">
        <f t="shared" si="3"/>
        <v>Jun 2020</v>
      </c>
    </row>
    <row r="15" spans="1:36" x14ac:dyDescent="0.2">
      <c r="A15">
        <v>29827</v>
      </c>
      <c r="B15" t="s">
        <v>45</v>
      </c>
      <c r="C15">
        <v>2.1516999999999999</v>
      </c>
      <c r="D15">
        <v>0.66439999999999999</v>
      </c>
      <c r="E15">
        <v>4.5077999999999996</v>
      </c>
      <c r="F15">
        <v>-1.0899000000000001</v>
      </c>
      <c r="G15">
        <v>0.71830000000000005</v>
      </c>
      <c r="H15">
        <v>3.4000000000000002E-2</v>
      </c>
      <c r="I15">
        <v>0.69930000000000003</v>
      </c>
      <c r="J15">
        <v>0.02</v>
      </c>
      <c r="K15">
        <v>0.1076</v>
      </c>
      <c r="L15">
        <v>706.44380000000001</v>
      </c>
      <c r="M15">
        <v>8.1103000000000005</v>
      </c>
      <c r="N15">
        <v>7.0900000000000005E-2</v>
      </c>
      <c r="O15">
        <v>23.7836</v>
      </c>
      <c r="P15">
        <v>-0.52490000000000003</v>
      </c>
      <c r="Q15">
        <v>0.1608</v>
      </c>
      <c r="R15">
        <v>0.83050000000000002</v>
      </c>
      <c r="S15">
        <v>4.0000000000000001E-3</v>
      </c>
      <c r="T15">
        <v>0.1983</v>
      </c>
      <c r="U15">
        <v>0.15140000000000001</v>
      </c>
      <c r="V15">
        <v>702.52120000000002</v>
      </c>
      <c r="W15">
        <v>1.7773000000000001</v>
      </c>
      <c r="X15">
        <v>0.69479999999999997</v>
      </c>
      <c r="Y15">
        <v>1.4602999999999999</v>
      </c>
      <c r="Z15">
        <v>-1.1166</v>
      </c>
      <c r="AA15">
        <v>0.75360000000000005</v>
      </c>
      <c r="AB15">
        <v>9.7000000000000003E-3</v>
      </c>
      <c r="AC15">
        <v>0.90149999999999997</v>
      </c>
      <c r="AD15">
        <v>2.47E-2</v>
      </c>
      <c r="AE15">
        <v>0.1077</v>
      </c>
      <c r="AF15">
        <v>706.43740000000003</v>
      </c>
      <c r="AG15">
        <f t="shared" si="0"/>
        <v>0.15140000000000001</v>
      </c>
      <c r="AH15" t="str">
        <f t="shared" si="1"/>
        <v>Jun 2020</v>
      </c>
      <c r="AI15">
        <f t="shared" si="2"/>
        <v>702.52120000000002</v>
      </c>
      <c r="AJ15" t="str">
        <f t="shared" si="3"/>
        <v>Jun 2020</v>
      </c>
    </row>
    <row r="16" spans="1:36" x14ac:dyDescent="0.2">
      <c r="A16">
        <v>62270</v>
      </c>
      <c r="B16" t="s">
        <v>46</v>
      </c>
      <c r="C16">
        <v>404.79430000000002</v>
      </c>
      <c r="D16">
        <v>-9.9278999999999993</v>
      </c>
      <c r="E16">
        <v>0.81210000000000004</v>
      </c>
      <c r="F16">
        <v>8.6728000000000005</v>
      </c>
      <c r="G16" s="1">
        <v>1.9100000000000001E-25</v>
      </c>
      <c r="H16" s="1">
        <v>4.73E-9</v>
      </c>
      <c r="I16">
        <v>0.97889999999999999</v>
      </c>
      <c r="J16" s="1">
        <v>3.8799999999999998E-7</v>
      </c>
      <c r="K16">
        <v>0.80479999999999996</v>
      </c>
      <c r="L16">
        <v>878.13080000000002</v>
      </c>
      <c r="M16">
        <v>393.93790000000001</v>
      </c>
      <c r="N16">
        <v>-8.8084000000000007</v>
      </c>
      <c r="O16">
        <v>-77.668199999999999</v>
      </c>
      <c r="P16">
        <v>7.4744000000000002</v>
      </c>
      <c r="Q16" s="1">
        <v>2.46E-18</v>
      </c>
      <c r="R16">
        <v>3.7000000000000002E-3</v>
      </c>
      <c r="S16">
        <v>0.1265</v>
      </c>
      <c r="T16">
        <v>1.4200000000000001E-2</v>
      </c>
      <c r="U16">
        <v>0.81030000000000002</v>
      </c>
      <c r="V16">
        <v>875.89689999999996</v>
      </c>
      <c r="W16">
        <v>404.71260000000001</v>
      </c>
      <c r="X16">
        <v>-9.9219000000000008</v>
      </c>
      <c r="Y16">
        <v>20.827500000000001</v>
      </c>
      <c r="Z16">
        <v>8.5617999999999999</v>
      </c>
      <c r="AA16" s="1">
        <v>2.7399999999999998E-27</v>
      </c>
      <c r="AB16" s="1">
        <v>2.5200000000000001E-11</v>
      </c>
      <c r="AC16">
        <v>0.44479999999999997</v>
      </c>
      <c r="AD16" s="1">
        <v>1.2100000000000001E-8</v>
      </c>
      <c r="AE16">
        <v>0.80510000000000004</v>
      </c>
      <c r="AF16">
        <v>878.03610000000003</v>
      </c>
      <c r="AG16">
        <f t="shared" si="0"/>
        <v>0.81030000000000002</v>
      </c>
      <c r="AH16" t="str">
        <f t="shared" si="1"/>
        <v>Jun 2020</v>
      </c>
      <c r="AI16">
        <f t="shared" si="2"/>
        <v>875.89689999999996</v>
      </c>
      <c r="AJ16" t="str">
        <f t="shared" si="3"/>
        <v>Jun 2020</v>
      </c>
    </row>
    <row r="17" spans="1:36" x14ac:dyDescent="0.2">
      <c r="A17">
        <v>71250</v>
      </c>
      <c r="B17" t="s">
        <v>47</v>
      </c>
      <c r="C17">
        <v>24973.394899999999</v>
      </c>
      <c r="D17">
        <v>231.27430000000001</v>
      </c>
      <c r="E17">
        <v>4537.4915000000001</v>
      </c>
      <c r="F17">
        <v>7.2956000000000003</v>
      </c>
      <c r="G17" s="1">
        <v>3.42E-234</v>
      </c>
      <c r="H17">
        <v>2.9999999999999997E-4</v>
      </c>
      <c r="I17">
        <v>4.4900000000000002E-2</v>
      </c>
      <c r="J17">
        <v>0.93</v>
      </c>
      <c r="K17">
        <v>0.73880000000000001</v>
      </c>
      <c r="L17">
        <v>1546.3101999999999</v>
      </c>
      <c r="M17">
        <v>26055.648300000001</v>
      </c>
      <c r="N17">
        <v>122.9759</v>
      </c>
      <c r="O17">
        <v>5046.5479999999998</v>
      </c>
      <c r="P17">
        <v>155.66210000000001</v>
      </c>
      <c r="Q17" s="1">
        <v>1.2000000000000001E-90</v>
      </c>
      <c r="R17">
        <v>0.36070000000000002</v>
      </c>
      <c r="S17">
        <v>7.4200000000000002E-2</v>
      </c>
      <c r="T17">
        <v>0.26700000000000002</v>
      </c>
      <c r="U17">
        <v>0.74280000000000002</v>
      </c>
      <c r="V17">
        <v>1545.0834</v>
      </c>
      <c r="W17">
        <v>24970.356299999999</v>
      </c>
      <c r="X17">
        <v>231.77879999999999</v>
      </c>
      <c r="Y17">
        <v>5465.6184000000003</v>
      </c>
      <c r="Z17">
        <v>-27.7318</v>
      </c>
      <c r="AA17" s="1">
        <v>3.5199999999999998E-285</v>
      </c>
      <c r="AB17" s="1">
        <v>6.6900000000000003E-6</v>
      </c>
      <c r="AC17">
        <v>1.26E-2</v>
      </c>
      <c r="AD17">
        <v>0.71299999999999997</v>
      </c>
      <c r="AE17">
        <v>0.74709999999999999</v>
      </c>
      <c r="AF17">
        <v>1543.7751000000001</v>
      </c>
      <c r="AG17">
        <f t="shared" si="0"/>
        <v>0.74709999999999999</v>
      </c>
      <c r="AH17" t="str">
        <f t="shared" si="1"/>
        <v>Mar 2021</v>
      </c>
      <c r="AI17">
        <f t="shared" si="2"/>
        <v>1543.7751000000001</v>
      </c>
      <c r="AJ17" t="str">
        <f t="shared" si="3"/>
        <v>Mar 2021</v>
      </c>
    </row>
    <row r="18" spans="1:36" x14ac:dyDescent="0.2">
      <c r="A18">
        <v>71260</v>
      </c>
      <c r="B18" t="s">
        <v>47</v>
      </c>
      <c r="C18">
        <v>38674.599099999999</v>
      </c>
      <c r="D18">
        <v>269.9896</v>
      </c>
      <c r="E18">
        <v>8777.9259999999995</v>
      </c>
      <c r="F18">
        <v>-253.68809999999999</v>
      </c>
      <c r="G18" s="1">
        <v>6.7000000000000001E-254</v>
      </c>
      <c r="H18">
        <v>3.2000000000000002E-3</v>
      </c>
      <c r="I18">
        <v>5.0000000000000001E-3</v>
      </c>
      <c r="J18">
        <v>3.1E-2</v>
      </c>
      <c r="K18">
        <v>0.62670000000000003</v>
      </c>
      <c r="L18">
        <v>1583.2012</v>
      </c>
      <c r="M18">
        <v>41144.937899999997</v>
      </c>
      <c r="N18">
        <v>22.6892</v>
      </c>
      <c r="O18">
        <v>12217.9594</v>
      </c>
      <c r="P18">
        <v>74.179000000000002</v>
      </c>
      <c r="Q18" s="1">
        <v>1.1699999999999999E-219</v>
      </c>
      <c r="R18">
        <v>0.8639</v>
      </c>
      <c r="S18" s="1">
        <v>9.2100000000000003E-5</v>
      </c>
      <c r="T18">
        <v>0.60809999999999997</v>
      </c>
      <c r="U18">
        <v>0.65229999999999999</v>
      </c>
      <c r="V18">
        <v>1577.6547</v>
      </c>
      <c r="W18">
        <v>38425.089099999997</v>
      </c>
      <c r="X18">
        <v>291.59550000000002</v>
      </c>
      <c r="Y18">
        <v>8878.4015999999992</v>
      </c>
      <c r="Z18">
        <v>-318.24900000000002</v>
      </c>
      <c r="AA18" s="1">
        <v>8.4900000000000003E-283</v>
      </c>
      <c r="AB18">
        <v>1E-4</v>
      </c>
      <c r="AC18">
        <v>2.8E-3</v>
      </c>
      <c r="AD18">
        <v>2.8999999999999998E-3</v>
      </c>
      <c r="AE18">
        <v>0.63590000000000002</v>
      </c>
      <c r="AF18">
        <v>1581.2457999999999</v>
      </c>
      <c r="AG18">
        <f t="shared" si="0"/>
        <v>0.65229999999999999</v>
      </c>
      <c r="AH18" t="str">
        <f t="shared" si="1"/>
        <v>Jun 2020</v>
      </c>
      <c r="AI18">
        <f t="shared" si="2"/>
        <v>1577.6547</v>
      </c>
      <c r="AJ18" t="str">
        <f t="shared" si="3"/>
        <v>Jun 2020</v>
      </c>
    </row>
    <row r="19" spans="1:36" x14ac:dyDescent="0.2">
      <c r="A19">
        <v>75561</v>
      </c>
      <c r="B19" t="s">
        <v>48</v>
      </c>
      <c r="C19">
        <v>100.56610000000001</v>
      </c>
      <c r="D19">
        <v>2.1311</v>
      </c>
      <c r="E19">
        <v>97.4803</v>
      </c>
      <c r="F19">
        <v>3.2467999999999999</v>
      </c>
      <c r="G19" s="1">
        <v>8.1899999999999992E-9</v>
      </c>
      <c r="H19">
        <v>7.4200000000000002E-2</v>
      </c>
      <c r="I19">
        <v>1.5299999999999999E-2</v>
      </c>
      <c r="J19">
        <v>7.3499999999999996E-2</v>
      </c>
      <c r="K19">
        <v>0.73070000000000002</v>
      </c>
      <c r="L19">
        <v>925.60109999999997</v>
      </c>
      <c r="M19">
        <v>132.70339999999999</v>
      </c>
      <c r="N19">
        <v>-0.95669999999999999</v>
      </c>
      <c r="O19">
        <v>106.44499999999999</v>
      </c>
      <c r="P19">
        <v>7.0008999999999997</v>
      </c>
      <c r="Q19" s="1">
        <v>1.8700000000000001E-11</v>
      </c>
      <c r="R19">
        <v>0.47849999999999998</v>
      </c>
      <c r="S19">
        <v>6.9999999999999999E-4</v>
      </c>
      <c r="T19" s="1">
        <v>6.7000000000000002E-5</v>
      </c>
      <c r="U19">
        <v>0.74850000000000005</v>
      </c>
      <c r="V19">
        <v>920.26710000000003</v>
      </c>
      <c r="W19">
        <v>97.473699999999994</v>
      </c>
      <c r="X19">
        <v>2.3912</v>
      </c>
      <c r="Y19">
        <v>112.2334</v>
      </c>
      <c r="Z19">
        <v>2.4354</v>
      </c>
      <c r="AA19" s="1">
        <v>1.07E-9</v>
      </c>
      <c r="AB19">
        <v>1.44E-2</v>
      </c>
      <c r="AC19">
        <v>2E-3</v>
      </c>
      <c r="AD19">
        <v>0.1741</v>
      </c>
      <c r="AE19">
        <v>0.7359</v>
      </c>
      <c r="AF19">
        <v>924.08199999999999</v>
      </c>
      <c r="AG19">
        <f t="shared" si="0"/>
        <v>0.74850000000000005</v>
      </c>
      <c r="AH19" t="str">
        <f t="shared" si="1"/>
        <v>Jun 2020</v>
      </c>
      <c r="AI19">
        <f t="shared" si="2"/>
        <v>920.26710000000003</v>
      </c>
      <c r="AJ19" t="str">
        <f t="shared" si="3"/>
        <v>Jun 2020</v>
      </c>
    </row>
    <row r="20" spans="1:36" x14ac:dyDescent="0.2">
      <c r="A20">
        <v>75565</v>
      </c>
      <c r="B20" t="s">
        <v>49</v>
      </c>
      <c r="C20">
        <v>127.8904</v>
      </c>
      <c r="D20">
        <v>-7.3099999999999998E-2</v>
      </c>
      <c r="E20">
        <v>43.842399999999998</v>
      </c>
      <c r="F20">
        <v>3.5966</v>
      </c>
      <c r="G20" s="1">
        <v>4.4099999999999998E-17</v>
      </c>
      <c r="H20">
        <v>0.9365</v>
      </c>
      <c r="I20">
        <v>0.17280000000000001</v>
      </c>
      <c r="J20">
        <v>3.7000000000000002E-3</v>
      </c>
      <c r="K20">
        <v>0.54410000000000003</v>
      </c>
      <c r="L20">
        <v>880.43079999999998</v>
      </c>
      <c r="M20">
        <v>145.79310000000001</v>
      </c>
      <c r="N20">
        <v>-1.7906</v>
      </c>
      <c r="O20">
        <v>44.459600000000002</v>
      </c>
      <c r="P20">
        <v>5.4465000000000003</v>
      </c>
      <c r="Q20" s="1">
        <v>2.25E-13</v>
      </c>
      <c r="R20">
        <v>0.21129999999999999</v>
      </c>
      <c r="S20">
        <v>0.15310000000000001</v>
      </c>
      <c r="T20">
        <v>4.0000000000000002E-4</v>
      </c>
      <c r="U20">
        <v>0.56459999999999999</v>
      </c>
      <c r="V20">
        <v>876.84690000000001</v>
      </c>
      <c r="W20">
        <v>125.8502</v>
      </c>
      <c r="X20">
        <v>9.7699999999999995E-2</v>
      </c>
      <c r="Y20">
        <v>52.719000000000001</v>
      </c>
      <c r="Z20">
        <v>3.2029999999999998</v>
      </c>
      <c r="AA20" s="1">
        <v>7.3299999999999997E-19</v>
      </c>
      <c r="AB20">
        <v>0.89639999999999997</v>
      </c>
      <c r="AC20">
        <v>8.8800000000000004E-2</v>
      </c>
      <c r="AD20">
        <v>1.1599999999999999E-2</v>
      </c>
      <c r="AE20">
        <v>0.54579999999999995</v>
      </c>
      <c r="AF20">
        <v>880.1404</v>
      </c>
      <c r="AG20">
        <f t="shared" si="0"/>
        <v>0.56459999999999999</v>
      </c>
      <c r="AH20" t="str">
        <f t="shared" si="1"/>
        <v>Jun 2020</v>
      </c>
      <c r="AI20">
        <f t="shared" si="2"/>
        <v>876.84690000000001</v>
      </c>
      <c r="AJ20" t="str">
        <f t="shared" si="3"/>
        <v>Jun 2020</v>
      </c>
    </row>
    <row r="21" spans="1:36" x14ac:dyDescent="0.2">
      <c r="A21">
        <v>75574</v>
      </c>
      <c r="B21" t="s">
        <v>50</v>
      </c>
      <c r="C21">
        <v>284.56909999999999</v>
      </c>
      <c r="D21">
        <v>12.723000000000001</v>
      </c>
      <c r="E21">
        <v>103.5706</v>
      </c>
      <c r="F21">
        <v>41.203099999999999</v>
      </c>
      <c r="G21" s="1">
        <v>1.8699999999999999E-23</v>
      </c>
      <c r="H21" s="1">
        <v>1.04E-5</v>
      </c>
      <c r="I21">
        <v>0.36880000000000002</v>
      </c>
      <c r="J21" s="1">
        <v>3.18E-18</v>
      </c>
      <c r="K21">
        <v>0.92500000000000004</v>
      </c>
      <c r="L21">
        <v>1101.7628</v>
      </c>
      <c r="M21">
        <v>325.72410000000002</v>
      </c>
      <c r="N21">
        <v>8.766</v>
      </c>
      <c r="O21">
        <v>-72.856099999999998</v>
      </c>
      <c r="P21">
        <v>43.917700000000004</v>
      </c>
      <c r="Q21" s="1">
        <v>2.64E-9</v>
      </c>
      <c r="R21">
        <v>0.14349999999999999</v>
      </c>
      <c r="S21">
        <v>0.58589999999999998</v>
      </c>
      <c r="T21" s="1">
        <v>2.39E-11</v>
      </c>
      <c r="U21">
        <v>0.92559999999999998</v>
      </c>
      <c r="V21">
        <v>1101.1113</v>
      </c>
      <c r="W21">
        <v>282.57089999999999</v>
      </c>
      <c r="X21">
        <v>12.896599999999999</v>
      </c>
      <c r="Y21">
        <v>211.4435</v>
      </c>
      <c r="Z21">
        <v>39.918599999999998</v>
      </c>
      <c r="AA21" s="1">
        <v>3.3899999999999998E-31</v>
      </c>
      <c r="AB21" s="1">
        <v>9.9599999999999995E-9</v>
      </c>
      <c r="AC21">
        <v>6.1800000000000001E-2</v>
      </c>
      <c r="AD21" s="1">
        <v>1.5400000000000001E-17</v>
      </c>
      <c r="AE21">
        <v>0.92569999999999997</v>
      </c>
      <c r="AF21">
        <v>1100.9422</v>
      </c>
      <c r="AG21">
        <f t="shared" si="0"/>
        <v>0.92569999999999997</v>
      </c>
      <c r="AH21" t="str">
        <f t="shared" si="1"/>
        <v>Mar 2021</v>
      </c>
      <c r="AI21">
        <f t="shared" si="2"/>
        <v>1100.9422</v>
      </c>
      <c r="AJ21" t="str">
        <f t="shared" si="3"/>
        <v>Mar 2021</v>
      </c>
    </row>
    <row r="22" spans="1:36" x14ac:dyDescent="0.2">
      <c r="A22">
        <v>76700</v>
      </c>
      <c r="B22" t="s">
        <v>51</v>
      </c>
      <c r="C22">
        <v>59961.193700000003</v>
      </c>
      <c r="D22">
        <v>-297.98250000000002</v>
      </c>
      <c r="E22">
        <v>15633.4527</v>
      </c>
      <c r="F22">
        <v>267.44330000000002</v>
      </c>
      <c r="G22" s="1">
        <v>4.9399999999999998E-206</v>
      </c>
      <c r="H22">
        <v>0.1056</v>
      </c>
      <c r="I22">
        <v>6.0000000000000001E-3</v>
      </c>
      <c r="J22">
        <v>0.1976</v>
      </c>
      <c r="K22">
        <v>0.27939999999999998</v>
      </c>
      <c r="L22">
        <v>1650.711</v>
      </c>
      <c r="M22">
        <v>62740.2621</v>
      </c>
      <c r="N22">
        <v>-567.5729</v>
      </c>
      <c r="O22">
        <v>12933.761500000001</v>
      </c>
      <c r="P22">
        <v>699.72630000000004</v>
      </c>
      <c r="Q22" s="1">
        <v>5.9099999999999997E-67</v>
      </c>
      <c r="R22">
        <v>0.1244</v>
      </c>
      <c r="S22">
        <v>8.1799999999999998E-2</v>
      </c>
      <c r="T22">
        <v>6.9400000000000003E-2</v>
      </c>
      <c r="U22">
        <v>0.2641</v>
      </c>
      <c r="V22">
        <v>1652.3513</v>
      </c>
      <c r="W22">
        <v>59568.004000000001</v>
      </c>
      <c r="X22">
        <v>-264.67160000000001</v>
      </c>
      <c r="Y22">
        <v>17822.5308</v>
      </c>
      <c r="Z22">
        <v>141.26990000000001</v>
      </c>
      <c r="AA22" s="1">
        <v>1.17E-284</v>
      </c>
      <c r="AB22">
        <v>6.7699999999999996E-2</v>
      </c>
      <c r="AC22">
        <v>2.9999999999999997E-4</v>
      </c>
      <c r="AD22">
        <v>0.40489999999999998</v>
      </c>
      <c r="AE22">
        <v>0.31869999999999998</v>
      </c>
      <c r="AF22">
        <v>1646.3330000000001</v>
      </c>
      <c r="AG22">
        <f t="shared" si="0"/>
        <v>0.31869999999999998</v>
      </c>
      <c r="AH22" t="str">
        <f t="shared" si="1"/>
        <v>Mar 2021</v>
      </c>
      <c r="AI22">
        <f t="shared" si="2"/>
        <v>1646.3330000000001</v>
      </c>
      <c r="AJ22" t="str">
        <f t="shared" si="3"/>
        <v>Mar 2021</v>
      </c>
    </row>
    <row r="23" spans="1:36" x14ac:dyDescent="0.2">
      <c r="A23">
        <v>80061</v>
      </c>
      <c r="B23" t="s">
        <v>52</v>
      </c>
      <c r="C23">
        <v>989988.79429999995</v>
      </c>
      <c r="D23">
        <v>2353.2292000000002</v>
      </c>
      <c r="E23">
        <v>303788.7279</v>
      </c>
      <c r="F23">
        <v>2200.6734999999999</v>
      </c>
      <c r="G23" s="1">
        <v>2.3500000000000001E-185</v>
      </c>
      <c r="H23">
        <v>0.47099999999999997</v>
      </c>
      <c r="I23">
        <v>2.3E-3</v>
      </c>
      <c r="J23">
        <v>0.56189999999999996</v>
      </c>
      <c r="K23">
        <v>0.66369999999999996</v>
      </c>
      <c r="L23">
        <v>2108.3337000000001</v>
      </c>
      <c r="M23">
        <v>1059808.4620999999</v>
      </c>
      <c r="N23">
        <v>-4562.4171999999999</v>
      </c>
      <c r="O23">
        <v>316524.16460000002</v>
      </c>
      <c r="P23">
        <v>11884.4105</v>
      </c>
      <c r="Q23" s="1">
        <v>4.7499999999999998E-85</v>
      </c>
      <c r="R23">
        <v>0.42859999999999998</v>
      </c>
      <c r="S23">
        <v>8.8000000000000005E-3</v>
      </c>
      <c r="T23">
        <v>5.04E-2</v>
      </c>
      <c r="U23">
        <v>0.67620000000000002</v>
      </c>
      <c r="V23">
        <v>2105.3789000000002</v>
      </c>
      <c r="W23">
        <v>972953.54249999998</v>
      </c>
      <c r="X23">
        <v>3793.8881999999999</v>
      </c>
      <c r="Y23">
        <v>298244.94130000001</v>
      </c>
      <c r="Z23">
        <v>-220.7465</v>
      </c>
      <c r="AA23" s="1">
        <v>4.8599999999999996E-215</v>
      </c>
      <c r="AB23">
        <v>0.1603</v>
      </c>
      <c r="AC23">
        <v>1.1000000000000001E-3</v>
      </c>
      <c r="AD23">
        <v>0.94979999999999998</v>
      </c>
      <c r="AE23">
        <v>0.66100000000000003</v>
      </c>
      <c r="AF23">
        <v>2108.9616999999998</v>
      </c>
      <c r="AG23">
        <f t="shared" si="0"/>
        <v>0.67620000000000002</v>
      </c>
      <c r="AH23" t="str">
        <f t="shared" si="1"/>
        <v>Jun 2020</v>
      </c>
      <c r="AI23">
        <f t="shared" si="2"/>
        <v>2105.3789000000002</v>
      </c>
      <c r="AJ23" t="str">
        <f t="shared" si="3"/>
        <v>Jun 2020</v>
      </c>
    </row>
    <row r="24" spans="1:36" x14ac:dyDescent="0.2">
      <c r="A24">
        <v>81240</v>
      </c>
      <c r="B24" t="s">
        <v>53</v>
      </c>
      <c r="C24">
        <v>1581.4894999999999</v>
      </c>
      <c r="D24">
        <v>-22.074000000000002</v>
      </c>
      <c r="E24">
        <v>428.73939999999999</v>
      </c>
      <c r="F24">
        <v>16.909199999999998</v>
      </c>
      <c r="G24" s="1">
        <v>1.8399999999999998E-272</v>
      </c>
      <c r="H24" s="1">
        <v>3.2199999999999999E-15</v>
      </c>
      <c r="I24" s="1">
        <v>1.19E-6</v>
      </c>
      <c r="J24" s="1">
        <v>2.3300000000000001E-6</v>
      </c>
      <c r="K24">
        <v>0.50319999999999998</v>
      </c>
      <c r="L24">
        <v>1035.2360000000001</v>
      </c>
      <c r="M24">
        <v>1592.1448</v>
      </c>
      <c r="N24">
        <v>-22.8872</v>
      </c>
      <c r="O24">
        <v>126.2654</v>
      </c>
      <c r="P24">
        <v>23.4285</v>
      </c>
      <c r="Q24" s="1">
        <v>3.3799999999999999E-158</v>
      </c>
      <c r="R24" s="1">
        <v>9.6399999999999992E-6</v>
      </c>
      <c r="S24">
        <v>0.28770000000000001</v>
      </c>
      <c r="T24" s="1">
        <v>7.25E-5</v>
      </c>
      <c r="U24">
        <v>0.38890000000000002</v>
      </c>
      <c r="V24">
        <v>1051.3916999999999</v>
      </c>
      <c r="W24">
        <v>1562.0567000000001</v>
      </c>
      <c r="X24">
        <v>-20.432700000000001</v>
      </c>
      <c r="Y24">
        <v>473.43599999999998</v>
      </c>
      <c r="Z24">
        <v>13.323600000000001</v>
      </c>
      <c r="AA24" s="1">
        <v>1.39E-287</v>
      </c>
      <c r="AB24" s="1">
        <v>1.8500000000000001E-15</v>
      </c>
      <c r="AC24" s="1">
        <v>4.1199999999999998E-9</v>
      </c>
      <c r="AD24" s="1">
        <v>6.2299999999999996E-5</v>
      </c>
      <c r="AE24">
        <v>0.52139999999999997</v>
      </c>
      <c r="AF24">
        <v>1032.3303000000001</v>
      </c>
      <c r="AG24">
        <f t="shared" si="0"/>
        <v>0.52139999999999997</v>
      </c>
      <c r="AH24" t="str">
        <f t="shared" si="1"/>
        <v>Mar 2021</v>
      </c>
      <c r="AI24">
        <f t="shared" si="2"/>
        <v>1032.3303000000001</v>
      </c>
      <c r="AJ24" t="str">
        <f t="shared" si="3"/>
        <v>Mar 2021</v>
      </c>
    </row>
    <row r="25" spans="1:36" x14ac:dyDescent="0.2">
      <c r="A25">
        <v>81241</v>
      </c>
      <c r="B25" t="s">
        <v>54</v>
      </c>
      <c r="C25">
        <v>1910.3153</v>
      </c>
      <c r="D25">
        <v>-20.127500000000001</v>
      </c>
      <c r="E25">
        <v>607.39139999999998</v>
      </c>
      <c r="F25">
        <v>11.4208</v>
      </c>
      <c r="G25" s="1">
        <v>5.9900000000000001E-259</v>
      </c>
      <c r="H25" s="1">
        <v>4.7799999999999996E-9</v>
      </c>
      <c r="I25" s="1">
        <v>2.6400000000000001E-8</v>
      </c>
      <c r="J25">
        <v>9.2999999999999992E-3</v>
      </c>
      <c r="K25">
        <v>0.37990000000000002</v>
      </c>
      <c r="L25">
        <v>1073.8171</v>
      </c>
      <c r="M25">
        <v>1928.8759</v>
      </c>
      <c r="N25">
        <v>-21.776800000000001</v>
      </c>
      <c r="O25">
        <v>266.29169999999999</v>
      </c>
      <c r="P25">
        <v>21.453299999999999</v>
      </c>
      <c r="Q25" s="1">
        <v>6.2699999999999997E-147</v>
      </c>
      <c r="R25">
        <v>1E-3</v>
      </c>
      <c r="S25">
        <v>9.5600000000000004E-2</v>
      </c>
      <c r="T25">
        <v>4.7999999999999996E-3</v>
      </c>
      <c r="U25">
        <v>0.17879999999999999</v>
      </c>
      <c r="V25">
        <v>1095.7176999999999</v>
      </c>
      <c r="W25">
        <v>1881.6194</v>
      </c>
      <c r="X25">
        <v>-17.706299999999999</v>
      </c>
      <c r="Y25">
        <v>636.94110000000001</v>
      </c>
      <c r="Z25">
        <v>6.4794</v>
      </c>
      <c r="AA25" s="1">
        <v>5.4299999999999998E-262</v>
      </c>
      <c r="AB25" s="1">
        <v>7.1099999999999995E-8</v>
      </c>
      <c r="AC25" s="1">
        <v>1.4499999999999999E-10</v>
      </c>
      <c r="AD25">
        <v>0.1166</v>
      </c>
      <c r="AE25">
        <v>0.39689999999999998</v>
      </c>
      <c r="AF25">
        <v>1071.6456000000001</v>
      </c>
      <c r="AG25">
        <f t="shared" si="0"/>
        <v>0.39689999999999998</v>
      </c>
      <c r="AH25" t="str">
        <f t="shared" si="1"/>
        <v>Mar 2021</v>
      </c>
      <c r="AI25">
        <f t="shared" si="2"/>
        <v>1071.6456000000001</v>
      </c>
      <c r="AJ25" t="str">
        <f t="shared" si="3"/>
        <v>Mar 2021</v>
      </c>
    </row>
    <row r="26" spans="1:36" x14ac:dyDescent="0.2">
      <c r="A26">
        <v>82465</v>
      </c>
      <c r="B26" t="s">
        <v>55</v>
      </c>
      <c r="C26">
        <v>49561.629099999998</v>
      </c>
      <c r="D26">
        <v>-213.91059999999999</v>
      </c>
      <c r="E26">
        <v>11772.804700000001</v>
      </c>
      <c r="F26">
        <v>-7.2220000000000004</v>
      </c>
      <c r="G26" s="1">
        <v>8.9700000000000005E-102</v>
      </c>
      <c r="H26">
        <v>0.2359</v>
      </c>
      <c r="I26">
        <v>3.2099999999999997E-2</v>
      </c>
      <c r="J26">
        <v>0.97219999999999995</v>
      </c>
      <c r="K26">
        <v>0.11269999999999999</v>
      </c>
      <c r="L26">
        <v>1647.0499</v>
      </c>
      <c r="M26">
        <v>52482.062100000003</v>
      </c>
      <c r="N26">
        <v>-504.72609999999997</v>
      </c>
      <c r="O26">
        <v>13433.4067</v>
      </c>
      <c r="P26">
        <v>387.93860000000001</v>
      </c>
      <c r="Q26" s="1">
        <v>2.63E-50</v>
      </c>
      <c r="R26">
        <v>0.1145</v>
      </c>
      <c r="S26">
        <v>3.6999999999999998E-2</v>
      </c>
      <c r="T26">
        <v>0.24610000000000001</v>
      </c>
      <c r="U26">
        <v>0.14230000000000001</v>
      </c>
      <c r="V26">
        <v>1644.4115999999999</v>
      </c>
      <c r="W26">
        <v>49325.016199999998</v>
      </c>
      <c r="X26">
        <v>-193.89420000000001</v>
      </c>
      <c r="Y26">
        <v>13205.241900000001</v>
      </c>
      <c r="Z26">
        <v>-99.910600000000002</v>
      </c>
      <c r="AA26" s="1">
        <v>2.4899999999999999E-126</v>
      </c>
      <c r="AB26">
        <v>0.1739</v>
      </c>
      <c r="AC26">
        <v>7.6E-3</v>
      </c>
      <c r="AD26">
        <v>0.56859999999999999</v>
      </c>
      <c r="AE26">
        <v>0.14499999999999999</v>
      </c>
      <c r="AF26">
        <v>1644.1661999999999</v>
      </c>
      <c r="AG26">
        <f t="shared" si="0"/>
        <v>0.14499999999999999</v>
      </c>
      <c r="AH26" t="str">
        <f t="shared" si="1"/>
        <v>Mar 2021</v>
      </c>
      <c r="AI26">
        <f t="shared" si="2"/>
        <v>1644.1661999999999</v>
      </c>
      <c r="AJ26" t="str">
        <f t="shared" si="3"/>
        <v>Mar 2021</v>
      </c>
    </row>
    <row r="27" spans="1:36" x14ac:dyDescent="0.2">
      <c r="A27">
        <v>82542</v>
      </c>
      <c r="B27" t="s">
        <v>56</v>
      </c>
      <c r="C27">
        <v>13965.0916</v>
      </c>
      <c r="D27">
        <v>-119.6735</v>
      </c>
      <c r="E27">
        <v>-286.35809999999998</v>
      </c>
      <c r="F27">
        <v>125.5309</v>
      </c>
      <c r="G27" s="1">
        <v>3.56E-122</v>
      </c>
      <c r="H27">
        <v>2.8999999999999998E-3</v>
      </c>
      <c r="I27">
        <v>0.81189999999999996</v>
      </c>
      <c r="J27">
        <v>4.4000000000000003E-3</v>
      </c>
      <c r="K27">
        <v>0.38519999999999999</v>
      </c>
      <c r="L27">
        <v>1406.1063999999999</v>
      </c>
      <c r="M27">
        <v>13133.1103</v>
      </c>
      <c r="N27">
        <v>-35.298499999999997</v>
      </c>
      <c r="O27">
        <v>-3120.79</v>
      </c>
      <c r="P27">
        <v>53.683700000000002</v>
      </c>
      <c r="Q27" s="1">
        <v>1.2100000000000001E-56</v>
      </c>
      <c r="R27">
        <v>0.68779999999999997</v>
      </c>
      <c r="S27">
        <v>7.6100000000000001E-2</v>
      </c>
      <c r="T27">
        <v>0.54659999999999997</v>
      </c>
      <c r="U27">
        <v>0.46710000000000002</v>
      </c>
      <c r="V27">
        <v>1394.9540999999999</v>
      </c>
      <c r="W27">
        <v>13913.1538</v>
      </c>
      <c r="X27">
        <v>-115.2544</v>
      </c>
      <c r="Y27">
        <v>-288.4563</v>
      </c>
      <c r="Z27">
        <v>126.3978</v>
      </c>
      <c r="AA27" s="1">
        <v>1.95E-137</v>
      </c>
      <c r="AB27">
        <v>4.0000000000000002E-4</v>
      </c>
      <c r="AC27">
        <v>0.79420000000000002</v>
      </c>
      <c r="AD27">
        <v>1.1000000000000001E-3</v>
      </c>
      <c r="AE27">
        <v>0.38679999999999998</v>
      </c>
      <c r="AF27">
        <v>1405.9112</v>
      </c>
      <c r="AG27">
        <f t="shared" si="0"/>
        <v>0.46710000000000002</v>
      </c>
      <c r="AH27" t="str">
        <f t="shared" si="1"/>
        <v>Jun 2020</v>
      </c>
      <c r="AI27">
        <f t="shared" si="2"/>
        <v>1394.9540999999999</v>
      </c>
      <c r="AJ27" t="str">
        <f t="shared" si="3"/>
        <v>Jun 2020</v>
      </c>
    </row>
    <row r="28" spans="1:36" x14ac:dyDescent="0.2">
      <c r="A28">
        <v>82570</v>
      </c>
      <c r="B28" t="s">
        <v>57</v>
      </c>
      <c r="C28">
        <v>235857.79579999999</v>
      </c>
      <c r="D28">
        <v>-399.94389999999999</v>
      </c>
      <c r="E28">
        <v>34430.764000000003</v>
      </c>
      <c r="F28">
        <v>2679.8542000000002</v>
      </c>
      <c r="G28" s="1">
        <v>1.5899999999999999E-298</v>
      </c>
      <c r="H28">
        <v>0.46</v>
      </c>
      <c r="I28">
        <v>4.1700000000000001E-2</v>
      </c>
      <c r="J28" s="1">
        <v>6.2899999999999997E-5</v>
      </c>
      <c r="K28">
        <v>0.67490000000000006</v>
      </c>
      <c r="L28">
        <v>1847.1257000000001</v>
      </c>
      <c r="M28">
        <v>247078.71720000001</v>
      </c>
      <c r="N28">
        <v>-1515.2186999999999</v>
      </c>
      <c r="O28">
        <v>31701.957900000001</v>
      </c>
      <c r="P28">
        <v>3907.3820000000001</v>
      </c>
      <c r="Q28" s="1">
        <v>2.4799999999999998E-156</v>
      </c>
      <c r="R28">
        <v>0.12239999999999999</v>
      </c>
      <c r="S28">
        <v>0.12189999999999999</v>
      </c>
      <c r="T28">
        <v>1E-4</v>
      </c>
      <c r="U28">
        <v>0.69689999999999996</v>
      </c>
      <c r="V28">
        <v>1841.6514999999999</v>
      </c>
      <c r="W28">
        <v>232626.14569999999</v>
      </c>
      <c r="X28">
        <v>-126.3905</v>
      </c>
      <c r="Y28">
        <v>33673.534399999997</v>
      </c>
      <c r="Z28">
        <v>2377.6183000000001</v>
      </c>
      <c r="AA28" s="1">
        <v>1.72E-306</v>
      </c>
      <c r="AB28">
        <v>0.78520000000000001</v>
      </c>
      <c r="AC28">
        <v>3.73E-2</v>
      </c>
      <c r="AD28">
        <v>4.0000000000000002E-4</v>
      </c>
      <c r="AE28">
        <v>0.66610000000000003</v>
      </c>
      <c r="AF28">
        <v>1849.2091</v>
      </c>
      <c r="AG28">
        <f t="shared" si="0"/>
        <v>0.69689999999999996</v>
      </c>
      <c r="AH28" t="str">
        <f t="shared" si="1"/>
        <v>Jun 2020</v>
      </c>
      <c r="AI28">
        <f t="shared" si="2"/>
        <v>1841.6514999999999</v>
      </c>
      <c r="AJ28" t="str">
        <f t="shared" si="3"/>
        <v>Jun 2020</v>
      </c>
    </row>
    <row r="29" spans="1:36" x14ac:dyDescent="0.2">
      <c r="A29">
        <v>82785</v>
      </c>
      <c r="B29" t="s">
        <v>58</v>
      </c>
      <c r="C29">
        <v>24659.250800000002</v>
      </c>
      <c r="D29">
        <v>-51.379399999999997</v>
      </c>
      <c r="E29">
        <v>5676.0249999999996</v>
      </c>
      <c r="F29">
        <v>313.52569999999997</v>
      </c>
      <c r="G29" s="1">
        <v>6.9499999999999996E-76</v>
      </c>
      <c r="H29">
        <v>0.50190000000000001</v>
      </c>
      <c r="I29">
        <v>1.7399999999999999E-2</v>
      </c>
      <c r="J29">
        <v>2.3999999999999998E-3</v>
      </c>
      <c r="K29">
        <v>0.59379999999999999</v>
      </c>
      <c r="L29">
        <v>1558.3566000000001</v>
      </c>
      <c r="M29">
        <v>24601.220700000002</v>
      </c>
      <c r="N29">
        <v>-45.922199999999997</v>
      </c>
      <c r="O29">
        <v>921.0643</v>
      </c>
      <c r="P29">
        <v>379.19420000000002</v>
      </c>
      <c r="Q29" s="1">
        <v>5.1600000000000003E-39</v>
      </c>
      <c r="R29">
        <v>0.79069999999999996</v>
      </c>
      <c r="S29">
        <v>0.79549999999999998</v>
      </c>
      <c r="T29">
        <v>3.7999999999999999E-2</v>
      </c>
      <c r="U29">
        <v>0.57199999999999995</v>
      </c>
      <c r="V29">
        <v>1562.425</v>
      </c>
      <c r="W29">
        <v>24607.971699999998</v>
      </c>
      <c r="X29">
        <v>-47.0625</v>
      </c>
      <c r="Y29">
        <v>7379.9939000000004</v>
      </c>
      <c r="Z29">
        <v>265.05250000000001</v>
      </c>
      <c r="AA29" s="1">
        <v>2.37E-82</v>
      </c>
      <c r="AB29">
        <v>0.45229999999999998</v>
      </c>
      <c r="AC29">
        <v>5.0000000000000001E-4</v>
      </c>
      <c r="AD29">
        <v>3.7000000000000002E-3</v>
      </c>
      <c r="AE29">
        <v>0.61150000000000004</v>
      </c>
      <c r="AF29">
        <v>1554.8729000000001</v>
      </c>
      <c r="AG29">
        <f t="shared" si="0"/>
        <v>0.61150000000000004</v>
      </c>
      <c r="AH29" t="str">
        <f t="shared" si="1"/>
        <v>Mar 2021</v>
      </c>
      <c r="AI29">
        <f t="shared" si="2"/>
        <v>1554.8729000000001</v>
      </c>
      <c r="AJ29" t="str">
        <f t="shared" si="3"/>
        <v>Mar 2021</v>
      </c>
    </row>
    <row r="30" spans="1:36" x14ac:dyDescent="0.2">
      <c r="A30">
        <v>83497</v>
      </c>
      <c r="B30" t="s">
        <v>59</v>
      </c>
      <c r="C30">
        <v>1165.7476999999999</v>
      </c>
      <c r="D30">
        <v>-21.366499999999998</v>
      </c>
      <c r="E30">
        <v>-214.9933</v>
      </c>
      <c r="F30">
        <v>20.236000000000001</v>
      </c>
      <c r="G30" s="1">
        <v>5.47E-33</v>
      </c>
      <c r="H30" s="1">
        <v>4.7300000000000001E-7</v>
      </c>
      <c r="I30">
        <v>4.8999999999999998E-3</v>
      </c>
      <c r="J30" s="1">
        <v>2.05E-5</v>
      </c>
      <c r="K30">
        <v>0.84750000000000003</v>
      </c>
      <c r="L30">
        <v>1014.8096</v>
      </c>
      <c r="M30">
        <v>1234.6828</v>
      </c>
      <c r="N30">
        <v>-28.075900000000001</v>
      </c>
      <c r="O30">
        <v>-41.334099999999999</v>
      </c>
      <c r="P30">
        <v>21.257100000000001</v>
      </c>
      <c r="Q30" s="1">
        <v>1.6999999999999999E-32</v>
      </c>
      <c r="R30" s="1">
        <v>2.6800000000000002E-7</v>
      </c>
      <c r="S30">
        <v>0.63449999999999995</v>
      </c>
      <c r="T30">
        <v>2.9999999999999997E-4</v>
      </c>
      <c r="U30">
        <v>0.81479999999999997</v>
      </c>
      <c r="V30">
        <v>1029.9449999999999</v>
      </c>
      <c r="W30">
        <v>1163.6559</v>
      </c>
      <c r="X30">
        <v>-21.1905</v>
      </c>
      <c r="Y30">
        <v>-222.6919</v>
      </c>
      <c r="Z30">
        <v>21.689800000000002</v>
      </c>
      <c r="AA30" s="1">
        <v>7.0300000000000004E-36</v>
      </c>
      <c r="AB30" s="1">
        <v>1.88E-8</v>
      </c>
      <c r="AC30">
        <v>1.2999999999999999E-3</v>
      </c>
      <c r="AD30" s="1">
        <v>1.37E-7</v>
      </c>
      <c r="AE30">
        <v>0.85709999999999997</v>
      </c>
      <c r="AF30">
        <v>1009.7246</v>
      </c>
      <c r="AG30">
        <f t="shared" si="0"/>
        <v>0.85709999999999997</v>
      </c>
      <c r="AH30" t="str">
        <f t="shared" si="1"/>
        <v>Mar 2021</v>
      </c>
      <c r="AI30">
        <f t="shared" si="2"/>
        <v>1009.7246</v>
      </c>
      <c r="AJ30" t="str">
        <f t="shared" si="3"/>
        <v>Mar 2021</v>
      </c>
    </row>
    <row r="31" spans="1:36" x14ac:dyDescent="0.2">
      <c r="A31">
        <v>83520</v>
      </c>
      <c r="B31" t="s">
        <v>60</v>
      </c>
      <c r="C31">
        <v>14438.570599999999</v>
      </c>
      <c r="D31">
        <v>681.50710000000004</v>
      </c>
      <c r="E31">
        <v>5787.1741000000002</v>
      </c>
      <c r="F31">
        <v>-915.56870000000004</v>
      </c>
      <c r="G31" s="1">
        <v>6.9300000000000005E-89</v>
      </c>
      <c r="H31" s="1">
        <v>1.7899999999999999E-44</v>
      </c>
      <c r="I31">
        <v>1.4E-3</v>
      </c>
      <c r="J31" s="1">
        <v>1.5000000000000001E-40</v>
      </c>
      <c r="K31">
        <v>0.87070000000000003</v>
      </c>
      <c r="L31">
        <v>1496.0702000000001</v>
      </c>
      <c r="M31">
        <v>15138.6</v>
      </c>
      <c r="N31">
        <v>612.33889999999997</v>
      </c>
      <c r="O31">
        <v>9522.8899000000001</v>
      </c>
      <c r="P31">
        <v>-732.41570000000002</v>
      </c>
      <c r="Q31" s="1">
        <v>1E-51</v>
      </c>
      <c r="R31" s="1">
        <v>6.0300000000000001E-11</v>
      </c>
      <c r="S31" s="1">
        <v>7.7999999999999999E-5</v>
      </c>
      <c r="T31" s="1">
        <v>2.11E-11</v>
      </c>
      <c r="U31">
        <v>0.83650000000000002</v>
      </c>
      <c r="V31">
        <v>1514.4027000000001</v>
      </c>
      <c r="W31">
        <v>14417.2024</v>
      </c>
      <c r="X31">
        <v>683.43709999999999</v>
      </c>
      <c r="Y31">
        <v>4780.0195999999996</v>
      </c>
      <c r="Z31">
        <v>-950.03330000000005</v>
      </c>
      <c r="AA31" s="1">
        <v>3.6200000000000001E-100</v>
      </c>
      <c r="AB31" s="1">
        <v>3.9599999999999996E-68</v>
      </c>
      <c r="AC31">
        <v>3.3E-3</v>
      </c>
      <c r="AD31" s="1">
        <v>1.4199999999999999E-54</v>
      </c>
      <c r="AE31">
        <v>0.87739999999999996</v>
      </c>
      <c r="AF31">
        <v>1491.9528</v>
      </c>
      <c r="AG31">
        <f t="shared" si="0"/>
        <v>0.87739999999999996</v>
      </c>
      <c r="AH31" t="str">
        <f t="shared" si="1"/>
        <v>Mar 2021</v>
      </c>
      <c r="AI31">
        <f t="shared" si="2"/>
        <v>1491.9528</v>
      </c>
      <c r="AJ31" t="str">
        <f t="shared" si="3"/>
        <v>Mar 2021</v>
      </c>
    </row>
    <row r="32" spans="1:36" x14ac:dyDescent="0.2">
      <c r="A32">
        <v>83721</v>
      </c>
      <c r="B32" t="s">
        <v>61</v>
      </c>
      <c r="C32">
        <v>29024.105100000001</v>
      </c>
      <c r="D32">
        <v>-104.65049999999999</v>
      </c>
      <c r="E32">
        <v>6776.0405000000001</v>
      </c>
      <c r="F32">
        <v>170.5796</v>
      </c>
      <c r="G32" s="1">
        <v>8.5400000000000005E-197</v>
      </c>
      <c r="H32">
        <v>0.24360000000000001</v>
      </c>
      <c r="I32">
        <v>1.7100000000000001E-2</v>
      </c>
      <c r="J32">
        <v>0.12659999999999999</v>
      </c>
      <c r="K32">
        <v>0.3629</v>
      </c>
      <c r="L32">
        <v>1546.9577999999999</v>
      </c>
      <c r="M32">
        <v>30881.931</v>
      </c>
      <c r="N32">
        <v>-287.27089999999998</v>
      </c>
      <c r="O32">
        <v>7089.9561999999996</v>
      </c>
      <c r="P32">
        <v>403.85149999999999</v>
      </c>
      <c r="Q32" s="1">
        <v>6.5300000000000002E-91</v>
      </c>
      <c r="R32">
        <v>7.0300000000000001E-2</v>
      </c>
      <c r="S32">
        <v>3.3599999999999998E-2</v>
      </c>
      <c r="T32">
        <v>1.6E-2</v>
      </c>
      <c r="U32">
        <v>0.40489999999999998</v>
      </c>
      <c r="V32">
        <v>1541.6410000000001</v>
      </c>
      <c r="W32">
        <v>28605.149799999999</v>
      </c>
      <c r="X32">
        <v>-69.258499999999998</v>
      </c>
      <c r="Y32">
        <v>6767.8091000000004</v>
      </c>
      <c r="Z32">
        <v>115.01349999999999</v>
      </c>
      <c r="AA32" s="1">
        <v>6.9899999999999996E-237</v>
      </c>
      <c r="AB32">
        <v>0.3453</v>
      </c>
      <c r="AC32">
        <v>9.5999999999999992E-3</v>
      </c>
      <c r="AD32">
        <v>0.28199999999999997</v>
      </c>
      <c r="AE32">
        <v>0.35589999999999999</v>
      </c>
      <c r="AF32">
        <v>1547.8166000000001</v>
      </c>
      <c r="AG32">
        <f t="shared" si="0"/>
        <v>0.40489999999999998</v>
      </c>
      <c r="AH32" t="str">
        <f t="shared" si="1"/>
        <v>Jun 2020</v>
      </c>
      <c r="AI32">
        <f t="shared" si="2"/>
        <v>1541.6410000000001</v>
      </c>
      <c r="AJ32" t="str">
        <f t="shared" si="3"/>
        <v>Jun 2020</v>
      </c>
    </row>
    <row r="33" spans="1:36" x14ac:dyDescent="0.2">
      <c r="A33">
        <v>84478</v>
      </c>
      <c r="B33" t="s">
        <v>62</v>
      </c>
      <c r="C33">
        <v>29954.141100000001</v>
      </c>
      <c r="D33">
        <v>-109.7525</v>
      </c>
      <c r="E33">
        <v>9986.6530999999995</v>
      </c>
      <c r="F33">
        <v>28.169799999999999</v>
      </c>
      <c r="G33" s="1">
        <v>1.28E-254</v>
      </c>
      <c r="H33">
        <v>0.13070000000000001</v>
      </c>
      <c r="I33">
        <v>4.0000000000000002E-4</v>
      </c>
      <c r="J33">
        <v>0.77349999999999997</v>
      </c>
      <c r="K33">
        <v>0.35270000000000001</v>
      </c>
      <c r="L33">
        <v>1550.9897000000001</v>
      </c>
      <c r="M33">
        <v>31244.234499999999</v>
      </c>
      <c r="N33">
        <v>-236.3443</v>
      </c>
      <c r="O33">
        <v>7939.0956999999999</v>
      </c>
      <c r="P33">
        <v>273.78699999999998</v>
      </c>
      <c r="Q33" s="1">
        <v>3.7900000000000001E-98</v>
      </c>
      <c r="R33">
        <v>8.6599999999999996E-2</v>
      </c>
      <c r="S33">
        <v>1.09E-2</v>
      </c>
      <c r="T33">
        <v>7.0999999999999994E-2</v>
      </c>
      <c r="U33">
        <v>0.28360000000000002</v>
      </c>
      <c r="V33">
        <v>1558.9025999999999</v>
      </c>
      <c r="W33">
        <v>29544.121500000001</v>
      </c>
      <c r="X33">
        <v>-75.017899999999997</v>
      </c>
      <c r="Y33">
        <v>10353.1502</v>
      </c>
      <c r="Z33">
        <v>-50.701900000000002</v>
      </c>
      <c r="AA33">
        <v>0</v>
      </c>
      <c r="AB33">
        <v>0.21809999999999999</v>
      </c>
      <c r="AC33">
        <v>1E-4</v>
      </c>
      <c r="AD33">
        <v>0.58799999999999997</v>
      </c>
      <c r="AE33">
        <v>0.37109999999999999</v>
      </c>
      <c r="AF33">
        <v>1548.7334000000001</v>
      </c>
      <c r="AG33">
        <f t="shared" si="0"/>
        <v>0.37109999999999999</v>
      </c>
      <c r="AH33" t="str">
        <f t="shared" si="1"/>
        <v>Mar 2021</v>
      </c>
      <c r="AI33">
        <f t="shared" si="2"/>
        <v>1548.7334000000001</v>
      </c>
      <c r="AJ33" t="str">
        <f t="shared" si="3"/>
        <v>Mar 2021</v>
      </c>
    </row>
    <row r="34" spans="1:36" x14ac:dyDescent="0.2">
      <c r="A34">
        <v>85025</v>
      </c>
      <c r="B34" t="s">
        <v>63</v>
      </c>
      <c r="C34">
        <v>2891786.5526000001</v>
      </c>
      <c r="D34">
        <v>1283.1271999999999</v>
      </c>
      <c r="E34">
        <v>601686.53940000001</v>
      </c>
      <c r="F34">
        <v>5337.6206000000002</v>
      </c>
      <c r="G34">
        <v>0</v>
      </c>
      <c r="H34">
        <v>0.80279999999999996</v>
      </c>
      <c r="I34">
        <v>2.9999999999999997E-4</v>
      </c>
      <c r="J34">
        <v>0.40400000000000003</v>
      </c>
      <c r="K34">
        <v>0.65359999999999996</v>
      </c>
      <c r="L34">
        <v>2196.2579999999998</v>
      </c>
      <c r="M34">
        <v>2949839.9309999999</v>
      </c>
      <c r="N34">
        <v>-4426.5245999999997</v>
      </c>
      <c r="O34">
        <v>409741.9142</v>
      </c>
      <c r="P34">
        <v>18474.508600000001</v>
      </c>
      <c r="Q34" s="1">
        <v>8.7000000000000003E-165</v>
      </c>
      <c r="R34">
        <v>0.69869999999999999</v>
      </c>
      <c r="S34">
        <v>9.0399999999999994E-2</v>
      </c>
      <c r="T34">
        <v>0.12870000000000001</v>
      </c>
      <c r="U34">
        <v>0.60929999999999995</v>
      </c>
      <c r="V34">
        <v>2205.6511999999998</v>
      </c>
      <c r="W34">
        <v>2874379.3764999998</v>
      </c>
      <c r="X34">
        <v>2766.0677999999998</v>
      </c>
      <c r="Y34">
        <v>663245.02489999996</v>
      </c>
      <c r="Z34">
        <v>567.55349999999999</v>
      </c>
      <c r="AA34">
        <v>0</v>
      </c>
      <c r="AB34">
        <v>0.50590000000000002</v>
      </c>
      <c r="AC34" s="1">
        <v>3.54E-6</v>
      </c>
      <c r="AD34">
        <v>0.91490000000000005</v>
      </c>
      <c r="AE34">
        <v>0.67430000000000001</v>
      </c>
      <c r="AF34">
        <v>2191.4603000000002</v>
      </c>
      <c r="AG34">
        <f t="shared" si="0"/>
        <v>0.67430000000000001</v>
      </c>
      <c r="AH34" t="str">
        <f t="shared" si="1"/>
        <v>Mar 2021</v>
      </c>
      <c r="AI34">
        <f t="shared" si="2"/>
        <v>2191.4603000000002</v>
      </c>
      <c r="AJ34" t="str">
        <f t="shared" si="3"/>
        <v>Mar 2021</v>
      </c>
    </row>
    <row r="35" spans="1:36" x14ac:dyDescent="0.2">
      <c r="A35">
        <v>85240</v>
      </c>
      <c r="B35" t="s">
        <v>64</v>
      </c>
      <c r="C35">
        <v>1574.5105000000001</v>
      </c>
      <c r="D35">
        <v>24.293099999999999</v>
      </c>
      <c r="E35">
        <v>928.75189999999998</v>
      </c>
      <c r="F35">
        <v>-0.16439999999999999</v>
      </c>
      <c r="G35" s="1">
        <v>3.3499999999999998E-68</v>
      </c>
      <c r="H35">
        <v>4.1999999999999997E-3</v>
      </c>
      <c r="I35">
        <v>6.9999999999999999E-4</v>
      </c>
      <c r="J35">
        <v>0.98729999999999996</v>
      </c>
      <c r="K35">
        <v>0.8196</v>
      </c>
      <c r="L35">
        <v>1194.0653</v>
      </c>
      <c r="M35">
        <v>1729.3516999999999</v>
      </c>
      <c r="N35">
        <v>9.2876999999999992</v>
      </c>
      <c r="O35">
        <v>828.32780000000002</v>
      </c>
      <c r="P35">
        <v>25.5139</v>
      </c>
      <c r="Q35" s="1">
        <v>2.07E-30</v>
      </c>
      <c r="R35">
        <v>0.55149999999999999</v>
      </c>
      <c r="S35">
        <v>1.43E-2</v>
      </c>
      <c r="T35">
        <v>0.1305</v>
      </c>
      <c r="U35">
        <v>0.8095</v>
      </c>
      <c r="V35">
        <v>1198.3396</v>
      </c>
      <c r="W35">
        <v>1528.4857999999999</v>
      </c>
      <c r="X35">
        <v>28.191400000000002</v>
      </c>
      <c r="Y35">
        <v>921.61009999999999</v>
      </c>
      <c r="Z35">
        <v>-7.4659000000000004</v>
      </c>
      <c r="AA35" s="1">
        <v>2.34E-80</v>
      </c>
      <c r="AB35" s="1">
        <v>6.5099999999999997E-5</v>
      </c>
      <c r="AC35">
        <v>2.9999999999999997E-4</v>
      </c>
      <c r="AD35">
        <v>0.4345</v>
      </c>
      <c r="AE35">
        <v>0.82030000000000003</v>
      </c>
      <c r="AF35">
        <v>1193.7835</v>
      </c>
      <c r="AG35">
        <f t="shared" si="0"/>
        <v>0.82030000000000003</v>
      </c>
      <c r="AH35" t="str">
        <f t="shared" si="1"/>
        <v>Mar 2021</v>
      </c>
      <c r="AI35">
        <f t="shared" si="2"/>
        <v>1193.7835</v>
      </c>
      <c r="AJ35" t="str">
        <f t="shared" si="3"/>
        <v>Mar 2021</v>
      </c>
    </row>
    <row r="36" spans="1:36" x14ac:dyDescent="0.2">
      <c r="A36">
        <v>85244</v>
      </c>
      <c r="B36" t="s">
        <v>64</v>
      </c>
      <c r="C36">
        <v>73.965500000000006</v>
      </c>
      <c r="D36">
        <v>0.43369999999999997</v>
      </c>
      <c r="E36">
        <v>19.130800000000001</v>
      </c>
      <c r="F36">
        <v>1.8203</v>
      </c>
      <c r="G36" s="1">
        <v>1.54E-20</v>
      </c>
      <c r="H36">
        <v>0.38519999999999999</v>
      </c>
      <c r="I36">
        <v>0.21160000000000001</v>
      </c>
      <c r="J36">
        <v>2.3E-3</v>
      </c>
      <c r="K36">
        <v>0.70809999999999995</v>
      </c>
      <c r="L36">
        <v>755.01350000000002</v>
      </c>
      <c r="M36">
        <v>83.834500000000006</v>
      </c>
      <c r="N36">
        <v>-0.52510000000000001</v>
      </c>
      <c r="O36">
        <v>23.812799999999999</v>
      </c>
      <c r="P36">
        <v>2.7673999999999999</v>
      </c>
      <c r="Q36" s="1">
        <v>1.3E-18</v>
      </c>
      <c r="R36">
        <v>0.52700000000000002</v>
      </c>
      <c r="S36">
        <v>0.16619999999999999</v>
      </c>
      <c r="T36">
        <v>1.1999999999999999E-3</v>
      </c>
      <c r="U36">
        <v>0.72799999999999998</v>
      </c>
      <c r="V36">
        <v>749.5027</v>
      </c>
      <c r="W36">
        <v>71.133600000000001</v>
      </c>
      <c r="X36">
        <v>0.67269999999999996</v>
      </c>
      <c r="Y36">
        <v>15.010300000000001</v>
      </c>
      <c r="Z36">
        <v>1.6463000000000001</v>
      </c>
      <c r="AA36" s="1">
        <v>1.35E-19</v>
      </c>
      <c r="AB36">
        <v>0.12640000000000001</v>
      </c>
      <c r="AC36">
        <v>0.3236</v>
      </c>
      <c r="AD36">
        <v>5.5999999999999999E-3</v>
      </c>
      <c r="AE36">
        <v>0.70150000000000001</v>
      </c>
      <c r="AF36">
        <v>756.74980000000005</v>
      </c>
      <c r="AG36">
        <f t="shared" si="0"/>
        <v>0.72799999999999998</v>
      </c>
      <c r="AH36" t="str">
        <f t="shared" si="1"/>
        <v>Jun 2020</v>
      </c>
      <c r="AI36">
        <f t="shared" si="2"/>
        <v>749.5027</v>
      </c>
      <c r="AJ36" t="str">
        <f t="shared" si="3"/>
        <v>Jun 2020</v>
      </c>
    </row>
    <row r="37" spans="1:36" x14ac:dyDescent="0.2">
      <c r="A37">
        <v>85245</v>
      </c>
      <c r="B37" t="s">
        <v>64</v>
      </c>
      <c r="C37">
        <v>1042.452</v>
      </c>
      <c r="D37">
        <v>19.448799999999999</v>
      </c>
      <c r="E37">
        <v>748.14980000000003</v>
      </c>
      <c r="F37">
        <v>-2.9094000000000002</v>
      </c>
      <c r="G37" s="1">
        <v>2.8799999999999998E-63</v>
      </c>
      <c r="H37">
        <v>8.0000000000000004E-4</v>
      </c>
      <c r="I37">
        <v>1E-4</v>
      </c>
      <c r="J37">
        <v>0.69689999999999996</v>
      </c>
      <c r="K37">
        <v>0.83289999999999997</v>
      </c>
      <c r="L37">
        <v>1145.7025000000001</v>
      </c>
      <c r="M37">
        <v>1154.9033999999999</v>
      </c>
      <c r="N37">
        <v>8.5733999999999995</v>
      </c>
      <c r="O37">
        <v>650.49289999999996</v>
      </c>
      <c r="P37">
        <v>16.986499999999999</v>
      </c>
      <c r="Q37" s="1">
        <v>6.8600000000000002E-31</v>
      </c>
      <c r="R37">
        <v>0.40960000000000002</v>
      </c>
      <c r="S37">
        <v>6.4999999999999997E-3</v>
      </c>
      <c r="T37">
        <v>0.14069999999999999</v>
      </c>
      <c r="U37">
        <v>0.81689999999999996</v>
      </c>
      <c r="V37">
        <v>1152.8293000000001</v>
      </c>
      <c r="W37">
        <v>1008.7692</v>
      </c>
      <c r="X37">
        <v>22.295500000000001</v>
      </c>
      <c r="Y37">
        <v>751.82629999999995</v>
      </c>
      <c r="Z37">
        <v>-8.7799999999999994</v>
      </c>
      <c r="AA37" s="1">
        <v>3.3000000000000002E-72</v>
      </c>
      <c r="AB37" s="1">
        <v>5.2900000000000002E-6</v>
      </c>
      <c r="AC37" s="1">
        <v>2.6800000000000001E-5</v>
      </c>
      <c r="AD37">
        <v>0.20430000000000001</v>
      </c>
      <c r="AE37">
        <v>0.8357</v>
      </c>
      <c r="AF37">
        <v>1144.3739</v>
      </c>
      <c r="AG37">
        <f t="shared" si="0"/>
        <v>0.8357</v>
      </c>
      <c r="AH37" t="str">
        <f t="shared" si="1"/>
        <v>Mar 2021</v>
      </c>
      <c r="AI37">
        <f t="shared" si="2"/>
        <v>1144.3739</v>
      </c>
      <c r="AJ37" t="str">
        <f t="shared" si="3"/>
        <v>Mar 2021</v>
      </c>
    </row>
    <row r="38" spans="1:36" x14ac:dyDescent="0.2">
      <c r="A38">
        <v>85246</v>
      </c>
      <c r="B38" t="s">
        <v>64</v>
      </c>
      <c r="C38">
        <v>1399.9745</v>
      </c>
      <c r="D38">
        <v>21.3094</v>
      </c>
      <c r="E38">
        <v>826.4452</v>
      </c>
      <c r="F38">
        <v>-0.68530000000000002</v>
      </c>
      <c r="G38" s="1">
        <v>6.7000000000000006E-86</v>
      </c>
      <c r="H38">
        <v>1.2999999999999999E-3</v>
      </c>
      <c r="I38">
        <v>2.0000000000000001E-4</v>
      </c>
      <c r="J38">
        <v>0.93659999999999999</v>
      </c>
      <c r="K38">
        <v>0.82989999999999997</v>
      </c>
      <c r="L38">
        <v>1167.8735999999999</v>
      </c>
      <c r="M38">
        <v>1505.4138</v>
      </c>
      <c r="N38">
        <v>11.1182</v>
      </c>
      <c r="O38">
        <v>658.76059999999995</v>
      </c>
      <c r="P38">
        <v>19.748899999999999</v>
      </c>
      <c r="Q38" s="1">
        <v>1.09E-35</v>
      </c>
      <c r="R38">
        <v>0.37659999999999999</v>
      </c>
      <c r="S38">
        <v>2.0400000000000001E-2</v>
      </c>
      <c r="T38">
        <v>0.15379999999999999</v>
      </c>
      <c r="U38">
        <v>0.81120000000000003</v>
      </c>
      <c r="V38">
        <v>1176.0459000000001</v>
      </c>
      <c r="W38">
        <v>1360.9351999999999</v>
      </c>
      <c r="X38">
        <v>24.612300000000001</v>
      </c>
      <c r="Y38">
        <v>827.83199999999999</v>
      </c>
      <c r="Z38">
        <v>-7.1890999999999998</v>
      </c>
      <c r="AA38" s="1">
        <v>1.63E-102</v>
      </c>
      <c r="AB38" s="1">
        <v>9.5799999999999998E-6</v>
      </c>
      <c r="AC38" s="1">
        <v>7.5099999999999996E-5</v>
      </c>
      <c r="AD38">
        <v>0.3745</v>
      </c>
      <c r="AE38">
        <v>0.83169999999999999</v>
      </c>
      <c r="AF38">
        <v>1167.078</v>
      </c>
      <c r="AG38">
        <f t="shared" si="0"/>
        <v>0.83169999999999999</v>
      </c>
      <c r="AH38" t="str">
        <f t="shared" si="1"/>
        <v>Mar 2021</v>
      </c>
      <c r="AI38">
        <f t="shared" si="2"/>
        <v>1167.078</v>
      </c>
      <c r="AJ38" t="str">
        <f t="shared" si="3"/>
        <v>Mar 2021</v>
      </c>
    </row>
    <row r="39" spans="1:36" x14ac:dyDescent="0.2">
      <c r="A39">
        <v>85247</v>
      </c>
      <c r="B39" t="s">
        <v>64</v>
      </c>
      <c r="C39">
        <v>291.00150000000002</v>
      </c>
      <c r="D39">
        <v>6.4078999999999997</v>
      </c>
      <c r="E39">
        <v>222.05009999999999</v>
      </c>
      <c r="F39">
        <v>-2.2381000000000002</v>
      </c>
      <c r="G39" s="1">
        <v>2.3800000000000001E-45</v>
      </c>
      <c r="H39">
        <v>5.0000000000000001E-4</v>
      </c>
      <c r="I39">
        <v>5.9999999999999995E-4</v>
      </c>
      <c r="J39">
        <v>0.35010000000000002</v>
      </c>
      <c r="K39">
        <v>0.78469999999999995</v>
      </c>
      <c r="L39">
        <v>978.77970000000005</v>
      </c>
      <c r="M39">
        <v>330.71719999999999</v>
      </c>
      <c r="N39">
        <v>2.5596000000000001</v>
      </c>
      <c r="O39">
        <v>216.43010000000001</v>
      </c>
      <c r="P39">
        <v>4.2110000000000003</v>
      </c>
      <c r="Q39" s="1">
        <v>2.6499999999999998E-25</v>
      </c>
      <c r="R39">
        <v>0.39350000000000002</v>
      </c>
      <c r="S39">
        <v>2.3E-3</v>
      </c>
      <c r="T39">
        <v>0.21210000000000001</v>
      </c>
      <c r="U39">
        <v>0.77429999999999999</v>
      </c>
      <c r="V39">
        <v>982.43629999999996</v>
      </c>
      <c r="W39">
        <v>280.34410000000003</v>
      </c>
      <c r="X39">
        <v>7.3113999999999999</v>
      </c>
      <c r="Y39">
        <v>216.6567</v>
      </c>
      <c r="Z39">
        <v>-3.9552</v>
      </c>
      <c r="AA39" s="1">
        <v>3.7599999999999998E-52</v>
      </c>
      <c r="AB39" s="1">
        <v>2.65E-6</v>
      </c>
      <c r="AC39">
        <v>4.0000000000000002E-4</v>
      </c>
      <c r="AD39">
        <v>8.5099999999999995E-2</v>
      </c>
      <c r="AE39">
        <v>0.78559999999999997</v>
      </c>
      <c r="AF39">
        <v>978.42880000000002</v>
      </c>
      <c r="AG39">
        <f t="shared" si="0"/>
        <v>0.78559999999999997</v>
      </c>
      <c r="AH39" t="str">
        <f t="shared" si="1"/>
        <v>Mar 2021</v>
      </c>
      <c r="AI39">
        <f t="shared" si="2"/>
        <v>978.42880000000002</v>
      </c>
      <c r="AJ39" t="str">
        <f t="shared" si="3"/>
        <v>Mar 2021</v>
      </c>
    </row>
    <row r="40" spans="1:36" x14ac:dyDescent="0.2">
      <c r="A40">
        <v>85250</v>
      </c>
      <c r="B40" t="s">
        <v>64</v>
      </c>
      <c r="C40">
        <v>62.2027</v>
      </c>
      <c r="D40">
        <v>1.7218</v>
      </c>
      <c r="E40">
        <v>9.3398000000000003</v>
      </c>
      <c r="F40">
        <v>2.5785999999999998</v>
      </c>
      <c r="G40" s="1">
        <v>7.3600000000000001E-37</v>
      </c>
      <c r="H40" s="1">
        <v>9.3700000000000001E-6</v>
      </c>
      <c r="I40">
        <v>0.53820000000000001</v>
      </c>
      <c r="J40" s="1">
        <v>5.3499999999999999E-5</v>
      </c>
      <c r="K40">
        <v>0.80620000000000003</v>
      </c>
      <c r="L40">
        <v>805.2989</v>
      </c>
      <c r="M40">
        <v>67.510300000000001</v>
      </c>
      <c r="N40">
        <v>1.2024999999999999</v>
      </c>
      <c r="O40">
        <v>4.0095000000000001</v>
      </c>
      <c r="P40">
        <v>2.9956999999999998</v>
      </c>
      <c r="Q40" s="1">
        <v>9.3299999999999997E-19</v>
      </c>
      <c r="R40">
        <v>0.12939999999999999</v>
      </c>
      <c r="S40">
        <v>0.81869999999999998</v>
      </c>
      <c r="T40">
        <v>6.9999999999999999E-4</v>
      </c>
      <c r="U40">
        <v>0.80789999999999995</v>
      </c>
      <c r="V40">
        <v>804.64</v>
      </c>
      <c r="W40">
        <v>62.554699999999997</v>
      </c>
      <c r="X40">
        <v>1.6926000000000001</v>
      </c>
      <c r="Y40">
        <v>18.7409</v>
      </c>
      <c r="Z40">
        <v>2.4769999999999999</v>
      </c>
      <c r="AA40" s="1">
        <v>8.4199999999999999E-45</v>
      </c>
      <c r="AB40" s="1">
        <v>4.5499999999999997E-8</v>
      </c>
      <c r="AC40">
        <v>0.22209999999999999</v>
      </c>
      <c r="AD40">
        <v>1E-4</v>
      </c>
      <c r="AE40">
        <v>0.80740000000000001</v>
      </c>
      <c r="AF40">
        <v>804.81259999999997</v>
      </c>
      <c r="AG40">
        <f t="shared" si="0"/>
        <v>0.80789999999999995</v>
      </c>
      <c r="AH40" t="str">
        <f t="shared" si="1"/>
        <v>Jun 2020</v>
      </c>
      <c r="AI40">
        <f t="shared" si="2"/>
        <v>804.64</v>
      </c>
      <c r="AJ40" t="str">
        <f t="shared" si="3"/>
        <v>Jun 2020</v>
      </c>
    </row>
    <row r="41" spans="1:36" x14ac:dyDescent="0.2">
      <c r="A41">
        <v>85260</v>
      </c>
      <c r="B41" t="s">
        <v>64</v>
      </c>
      <c r="C41">
        <v>13.7216</v>
      </c>
      <c r="D41">
        <v>0.1147</v>
      </c>
      <c r="E41">
        <v>6.3836000000000004</v>
      </c>
      <c r="F41">
        <v>-0.57079999999999997</v>
      </c>
      <c r="G41">
        <v>2.5999999999999999E-3</v>
      </c>
      <c r="H41">
        <v>0.66369999999999996</v>
      </c>
      <c r="I41">
        <v>0.2843</v>
      </c>
      <c r="J41">
        <v>5.1499999999999997E-2</v>
      </c>
      <c r="K41">
        <v>0.13600000000000001</v>
      </c>
      <c r="L41">
        <v>579.90949999999998</v>
      </c>
      <c r="M41">
        <v>10.129200000000001</v>
      </c>
      <c r="N41">
        <v>0.48920000000000002</v>
      </c>
      <c r="O41">
        <v>-0.59530000000000005</v>
      </c>
      <c r="P41">
        <v>-0.78680000000000005</v>
      </c>
      <c r="Q41">
        <v>4.4299999999999999E-2</v>
      </c>
      <c r="R41">
        <v>0.28000000000000003</v>
      </c>
      <c r="S41">
        <v>0.9405</v>
      </c>
      <c r="T41">
        <v>8.77E-2</v>
      </c>
      <c r="U41">
        <v>0.1249</v>
      </c>
      <c r="V41">
        <v>580.85649999999998</v>
      </c>
      <c r="W41">
        <v>14.7311</v>
      </c>
      <c r="X41">
        <v>1.9900000000000001E-2</v>
      </c>
      <c r="Y41">
        <v>10.501899999999999</v>
      </c>
      <c r="Z41">
        <v>-0.59250000000000003</v>
      </c>
      <c r="AA41">
        <v>1.1000000000000001E-3</v>
      </c>
      <c r="AB41">
        <v>0.9304</v>
      </c>
      <c r="AC41">
        <v>5.3800000000000001E-2</v>
      </c>
      <c r="AD41">
        <v>1.4800000000000001E-2</v>
      </c>
      <c r="AE41">
        <v>0.1754</v>
      </c>
      <c r="AF41">
        <v>576.46029999999996</v>
      </c>
      <c r="AG41">
        <f t="shared" si="0"/>
        <v>0.1754</v>
      </c>
      <c r="AH41" t="str">
        <f t="shared" si="1"/>
        <v>Mar 2021</v>
      </c>
      <c r="AI41">
        <f t="shared" si="2"/>
        <v>576.46029999999996</v>
      </c>
      <c r="AJ41" t="str">
        <f t="shared" si="3"/>
        <v>Mar 2021</v>
      </c>
    </row>
    <row r="42" spans="1:36" x14ac:dyDescent="0.2">
      <c r="A42">
        <v>85270</v>
      </c>
      <c r="B42" t="s">
        <v>64</v>
      </c>
      <c r="C42">
        <v>40.076599999999999</v>
      </c>
      <c r="D42">
        <v>2.5099</v>
      </c>
      <c r="E42">
        <v>-6.5297000000000001</v>
      </c>
      <c r="F42">
        <v>-1.3023</v>
      </c>
      <c r="G42" s="1">
        <v>5.6999999999999997E-14</v>
      </c>
      <c r="H42" s="1">
        <v>3.9899999999999999E-14</v>
      </c>
      <c r="I42">
        <v>0.5393</v>
      </c>
      <c r="J42">
        <v>4.7000000000000002E-3</v>
      </c>
      <c r="K42">
        <v>0.68110000000000004</v>
      </c>
      <c r="L42">
        <v>746.12030000000004</v>
      </c>
      <c r="M42">
        <v>49.689700000000002</v>
      </c>
      <c r="N42">
        <v>1.5270999999999999</v>
      </c>
      <c r="O42">
        <v>31.084900000000001</v>
      </c>
      <c r="P42">
        <v>-0.63009999999999999</v>
      </c>
      <c r="Q42" s="1">
        <v>7.4400000000000002E-33</v>
      </c>
      <c r="R42" s="1">
        <v>4.4700000000000003E-8</v>
      </c>
      <c r="S42">
        <v>2.9999999999999997E-4</v>
      </c>
      <c r="T42">
        <v>0.1021</v>
      </c>
      <c r="U42">
        <v>0.7026</v>
      </c>
      <c r="V42">
        <v>740.6789</v>
      </c>
      <c r="W42">
        <v>42.161900000000003</v>
      </c>
      <c r="X42">
        <v>2.3340999999999998</v>
      </c>
      <c r="Y42">
        <v>-1.83</v>
      </c>
      <c r="Z42">
        <v>-1.2337</v>
      </c>
      <c r="AA42" s="1">
        <v>5.7900000000000002E-17</v>
      </c>
      <c r="AB42" s="1">
        <v>7.2300000000000005E-14</v>
      </c>
      <c r="AC42">
        <v>0.86970000000000003</v>
      </c>
      <c r="AD42">
        <v>7.3000000000000001E-3</v>
      </c>
      <c r="AE42">
        <v>0.67900000000000005</v>
      </c>
      <c r="AF42">
        <v>746.63850000000002</v>
      </c>
      <c r="AG42">
        <f t="shared" si="0"/>
        <v>0.7026</v>
      </c>
      <c r="AH42" t="str">
        <f t="shared" si="1"/>
        <v>Jun 2020</v>
      </c>
      <c r="AI42">
        <f t="shared" si="2"/>
        <v>740.6789</v>
      </c>
      <c r="AJ42" t="str">
        <f t="shared" si="3"/>
        <v>Jun 2020</v>
      </c>
    </row>
    <row r="43" spans="1:36" x14ac:dyDescent="0.2">
      <c r="A43">
        <v>85300</v>
      </c>
      <c r="B43" t="s">
        <v>65</v>
      </c>
      <c r="C43">
        <v>598.57960000000003</v>
      </c>
      <c r="D43">
        <v>9.4017999999999997</v>
      </c>
      <c r="E43">
        <v>340.61869999999999</v>
      </c>
      <c r="F43">
        <v>-12.546799999999999</v>
      </c>
      <c r="G43" s="1">
        <v>4.7599999999999998E-124</v>
      </c>
      <c r="H43" s="1">
        <v>9.4699999999999998E-5</v>
      </c>
      <c r="I43" s="1">
        <v>2.4099999999999998E-6</v>
      </c>
      <c r="J43" s="1">
        <v>7.1400000000000002E-6</v>
      </c>
      <c r="K43">
        <v>0.75780000000000003</v>
      </c>
      <c r="L43">
        <v>997.94439999999997</v>
      </c>
      <c r="M43">
        <v>649.14480000000003</v>
      </c>
      <c r="N43">
        <v>4.3813000000000004</v>
      </c>
      <c r="O43">
        <v>364.25069999999999</v>
      </c>
      <c r="P43">
        <v>-3.0527000000000002</v>
      </c>
      <c r="Q43" s="1">
        <v>6.0400000000000003E-82</v>
      </c>
      <c r="R43">
        <v>0.24</v>
      </c>
      <c r="S43" s="1">
        <v>4.7599999999999998E-5</v>
      </c>
      <c r="T43">
        <v>0.46750000000000003</v>
      </c>
      <c r="U43">
        <v>0.71650000000000003</v>
      </c>
      <c r="V43">
        <v>1010.2198</v>
      </c>
      <c r="W43">
        <v>579.83000000000004</v>
      </c>
      <c r="X43">
        <v>10.9879</v>
      </c>
      <c r="Y43">
        <v>301.12329999999997</v>
      </c>
      <c r="Z43">
        <v>-15.0844</v>
      </c>
      <c r="AA43" s="1">
        <v>7.0900000000000001E-115</v>
      </c>
      <c r="AB43" s="1">
        <v>2.4400000000000001E-7</v>
      </c>
      <c r="AC43" s="1">
        <v>1.22E-5</v>
      </c>
      <c r="AD43" s="1">
        <v>8.2599999999999992E-9</v>
      </c>
      <c r="AE43">
        <v>0.75229999999999997</v>
      </c>
      <c r="AF43">
        <v>999.69029999999998</v>
      </c>
      <c r="AG43">
        <f t="shared" si="0"/>
        <v>0.75780000000000003</v>
      </c>
      <c r="AH43" t="str">
        <f t="shared" si="1"/>
        <v>Jan 2021</v>
      </c>
      <c r="AI43">
        <f t="shared" si="2"/>
        <v>997.94439999999997</v>
      </c>
      <c r="AJ43" t="str">
        <f t="shared" si="3"/>
        <v>Jan 2021</v>
      </c>
    </row>
    <row r="44" spans="1:36" x14ac:dyDescent="0.2">
      <c r="A44">
        <v>85303</v>
      </c>
      <c r="B44" t="s">
        <v>66</v>
      </c>
      <c r="C44">
        <v>675.24019999999996</v>
      </c>
      <c r="D44">
        <v>9.0084999999999997</v>
      </c>
      <c r="E44">
        <v>316.08150000000001</v>
      </c>
      <c r="F44">
        <v>-12.520099999999999</v>
      </c>
      <c r="G44" s="1">
        <v>6.8E-139</v>
      </c>
      <c r="H44">
        <v>2.9999999999999997E-4</v>
      </c>
      <c r="I44" s="1">
        <v>3.43E-5</v>
      </c>
      <c r="J44" s="1">
        <v>2.2200000000000001E-5</v>
      </c>
      <c r="K44">
        <v>0.71279999999999999</v>
      </c>
      <c r="L44">
        <v>1002.6228</v>
      </c>
      <c r="M44">
        <v>729.61379999999997</v>
      </c>
      <c r="N44">
        <v>3.5768</v>
      </c>
      <c r="O44">
        <v>364.62220000000002</v>
      </c>
      <c r="P44">
        <v>-3.1238000000000001</v>
      </c>
      <c r="Q44" s="1">
        <v>5.2000000000000001E-90</v>
      </c>
      <c r="R44">
        <v>0.34970000000000001</v>
      </c>
      <c r="S44" s="1">
        <v>5.3100000000000003E-5</v>
      </c>
      <c r="T44">
        <v>0.46710000000000002</v>
      </c>
      <c r="U44">
        <v>0.68579999999999997</v>
      </c>
      <c r="V44">
        <v>1009.6180000000001</v>
      </c>
      <c r="W44">
        <v>654.56280000000004</v>
      </c>
      <c r="X44">
        <v>10.753399999999999</v>
      </c>
      <c r="Y44">
        <v>263.58199999999999</v>
      </c>
      <c r="Z44">
        <v>-14.8787</v>
      </c>
      <c r="AA44" s="1">
        <v>4.7500000000000001E-122</v>
      </c>
      <c r="AB44" s="1">
        <v>1.84E-6</v>
      </c>
      <c r="AC44">
        <v>4.0000000000000002E-4</v>
      </c>
      <c r="AD44" s="1">
        <v>4.3599999999999999E-7</v>
      </c>
      <c r="AE44">
        <v>0.69989999999999997</v>
      </c>
      <c r="AF44">
        <v>1006.0511</v>
      </c>
      <c r="AG44">
        <f t="shared" si="0"/>
        <v>0.71279999999999999</v>
      </c>
      <c r="AH44" t="str">
        <f t="shared" si="1"/>
        <v>Jan 2021</v>
      </c>
      <c r="AI44">
        <f t="shared" si="2"/>
        <v>1002.6228</v>
      </c>
      <c r="AJ44" t="str">
        <f t="shared" si="3"/>
        <v>Jan 2021</v>
      </c>
    </row>
    <row r="45" spans="1:36" x14ac:dyDescent="0.2">
      <c r="A45">
        <v>85305</v>
      </c>
      <c r="B45" t="s">
        <v>66</v>
      </c>
      <c r="C45">
        <v>292.63659999999999</v>
      </c>
      <c r="D45">
        <v>6.0096999999999996</v>
      </c>
      <c r="E45">
        <v>130.3914</v>
      </c>
      <c r="F45">
        <v>-9.1960999999999995</v>
      </c>
      <c r="G45" s="1">
        <v>5.0500000000000003E-48</v>
      </c>
      <c r="H45" s="1">
        <v>3.5099999999999999E-5</v>
      </c>
      <c r="I45">
        <v>1.2999999999999999E-3</v>
      </c>
      <c r="J45" s="1">
        <v>1.1700000000000001E-8</v>
      </c>
      <c r="K45">
        <v>0.6321</v>
      </c>
      <c r="L45">
        <v>911.26930000000004</v>
      </c>
      <c r="M45">
        <v>326.43450000000001</v>
      </c>
      <c r="N45">
        <v>2.6783000000000001</v>
      </c>
      <c r="O45">
        <v>199.17189999999999</v>
      </c>
      <c r="P45">
        <v>-4.2606999999999999</v>
      </c>
      <c r="Q45" s="1">
        <v>1.42E-50</v>
      </c>
      <c r="R45">
        <v>0.2414</v>
      </c>
      <c r="S45" s="1">
        <v>6.1299999999999999E-5</v>
      </c>
      <c r="T45">
        <v>8.2600000000000007E-2</v>
      </c>
      <c r="U45">
        <v>0.63470000000000004</v>
      </c>
      <c r="V45">
        <v>910.72799999999995</v>
      </c>
      <c r="W45">
        <v>282.48579999999998</v>
      </c>
      <c r="X45">
        <v>6.8699000000000003</v>
      </c>
      <c r="Y45">
        <v>91.793300000000002</v>
      </c>
      <c r="Z45">
        <v>-10.110900000000001</v>
      </c>
      <c r="AA45" s="1">
        <v>5.4100000000000004E-41</v>
      </c>
      <c r="AB45" s="1">
        <v>2.6399999999999998E-7</v>
      </c>
      <c r="AC45">
        <v>2.06E-2</v>
      </c>
      <c r="AD45" s="1">
        <v>2.17E-10</v>
      </c>
      <c r="AE45">
        <v>0.61560000000000004</v>
      </c>
      <c r="AF45">
        <v>914.6866</v>
      </c>
      <c r="AG45">
        <f t="shared" si="0"/>
        <v>0.63470000000000004</v>
      </c>
      <c r="AH45" t="str">
        <f t="shared" si="1"/>
        <v>Jun 2020</v>
      </c>
      <c r="AI45">
        <f t="shared" si="2"/>
        <v>910.72799999999995</v>
      </c>
      <c r="AJ45" t="str">
        <f t="shared" si="3"/>
        <v>Jun 2020</v>
      </c>
    </row>
    <row r="46" spans="1:36" x14ac:dyDescent="0.2">
      <c r="A46">
        <v>85306</v>
      </c>
      <c r="B46" t="s">
        <v>66</v>
      </c>
      <c r="C46">
        <v>785.87840000000006</v>
      </c>
      <c r="D46">
        <v>10.940300000000001</v>
      </c>
      <c r="E46">
        <v>347.75760000000002</v>
      </c>
      <c r="F46">
        <v>-14.2691</v>
      </c>
      <c r="G46" s="1">
        <v>5.8200000000000001E-181</v>
      </c>
      <c r="H46">
        <v>1E-4</v>
      </c>
      <c r="I46" s="1">
        <v>6.7399999999999998E-5</v>
      </c>
      <c r="J46" s="1">
        <v>1.5999999999999999E-5</v>
      </c>
      <c r="K46">
        <v>0.72160000000000002</v>
      </c>
      <c r="L46">
        <v>1024.1795</v>
      </c>
      <c r="M46">
        <v>852.54480000000001</v>
      </c>
      <c r="N46">
        <v>4.3502000000000001</v>
      </c>
      <c r="O46">
        <v>417.08449999999999</v>
      </c>
      <c r="P46">
        <v>-3.3685</v>
      </c>
      <c r="Q46" s="1">
        <v>2.0200000000000001E-86</v>
      </c>
      <c r="R46">
        <v>0.36599999999999999</v>
      </c>
      <c r="S46" s="1">
        <v>9.0099999999999995E-5</v>
      </c>
      <c r="T46">
        <v>0.52380000000000004</v>
      </c>
      <c r="U46">
        <v>0.70289999999999997</v>
      </c>
      <c r="V46">
        <v>1029.2636</v>
      </c>
      <c r="W46">
        <v>759.36030000000005</v>
      </c>
      <c r="X46">
        <v>13.182499999999999</v>
      </c>
      <c r="Y46">
        <v>271.7405</v>
      </c>
      <c r="Z46">
        <v>-16.8461</v>
      </c>
      <c r="AA46" s="1">
        <v>1.6100000000000001E-139</v>
      </c>
      <c r="AB46" s="1">
        <v>1.0499999999999999E-6</v>
      </c>
      <c r="AC46">
        <v>2E-3</v>
      </c>
      <c r="AD46" s="1">
        <v>6.1699999999999998E-7</v>
      </c>
      <c r="AE46">
        <v>0.7026</v>
      </c>
      <c r="AF46">
        <v>1029.3207</v>
      </c>
      <c r="AG46">
        <f t="shared" si="0"/>
        <v>0.72160000000000002</v>
      </c>
      <c r="AH46" t="str">
        <f t="shared" si="1"/>
        <v>Jan 2021</v>
      </c>
      <c r="AI46">
        <f t="shared" si="2"/>
        <v>1024.1795</v>
      </c>
      <c r="AJ46" t="str">
        <f t="shared" si="3"/>
        <v>Jan 2021</v>
      </c>
    </row>
    <row r="47" spans="1:36" x14ac:dyDescent="0.2">
      <c r="A47">
        <v>85379</v>
      </c>
      <c r="B47" t="s">
        <v>67</v>
      </c>
      <c r="C47">
        <v>33838.512000000002</v>
      </c>
      <c r="D47">
        <v>999.46759999999995</v>
      </c>
      <c r="E47">
        <v>20552.3786</v>
      </c>
      <c r="F47">
        <v>-1695.6112000000001</v>
      </c>
      <c r="G47" s="1">
        <v>2.12E-36</v>
      </c>
      <c r="H47" s="1">
        <v>5.1699999999999998E-7</v>
      </c>
      <c r="I47">
        <v>1E-4</v>
      </c>
      <c r="J47" s="1">
        <v>5.0699999999999996E-13</v>
      </c>
      <c r="K47">
        <v>0.76900000000000002</v>
      </c>
      <c r="L47">
        <v>1643.4259999999999</v>
      </c>
      <c r="M47">
        <v>39628.882799999999</v>
      </c>
      <c r="N47">
        <v>438.166</v>
      </c>
      <c r="O47">
        <v>33232.428099999997</v>
      </c>
      <c r="P47">
        <v>-867.25419999999997</v>
      </c>
      <c r="Q47" s="1">
        <v>3.4300000000000002E-184</v>
      </c>
      <c r="R47">
        <v>1E-4</v>
      </c>
      <c r="S47" s="1">
        <v>3.0299999999999999E-10</v>
      </c>
      <c r="T47" s="1">
        <v>4.0200000000000003E-8</v>
      </c>
      <c r="U47">
        <v>0.76649999999999996</v>
      </c>
      <c r="V47">
        <v>1644.2766999999999</v>
      </c>
      <c r="W47">
        <v>31970.789499999999</v>
      </c>
      <c r="X47">
        <v>1159.1180999999999</v>
      </c>
      <c r="Y47">
        <v>12519.869000000001</v>
      </c>
      <c r="Z47">
        <v>-1832.2925</v>
      </c>
      <c r="AA47" s="1">
        <v>6.63E-24</v>
      </c>
      <c r="AB47" s="1">
        <v>1.43E-7</v>
      </c>
      <c r="AC47">
        <v>5.3900000000000003E-2</v>
      </c>
      <c r="AD47" s="1">
        <v>5.8799999999999999E-14</v>
      </c>
      <c r="AE47">
        <v>0.73699999999999999</v>
      </c>
      <c r="AF47">
        <v>1653.5533</v>
      </c>
      <c r="AG47">
        <f t="shared" si="0"/>
        <v>0.76900000000000002</v>
      </c>
      <c r="AH47" t="str">
        <f t="shared" si="1"/>
        <v>Jan 2021</v>
      </c>
      <c r="AI47">
        <f t="shared" si="2"/>
        <v>1643.4259999999999</v>
      </c>
      <c r="AJ47" t="str">
        <f t="shared" si="3"/>
        <v>Jan 2021</v>
      </c>
    </row>
    <row r="48" spans="1:36" x14ac:dyDescent="0.2">
      <c r="A48">
        <v>85384</v>
      </c>
      <c r="B48" t="s">
        <v>68</v>
      </c>
      <c r="C48">
        <v>4283.0119999999997</v>
      </c>
      <c r="D48">
        <v>222.66759999999999</v>
      </c>
      <c r="E48">
        <v>1337.9576</v>
      </c>
      <c r="F48">
        <v>-284.05520000000001</v>
      </c>
      <c r="G48" s="1">
        <v>5.6899999999999999E-34</v>
      </c>
      <c r="H48" s="1">
        <v>4.7E-19</v>
      </c>
      <c r="I48">
        <v>5.0299999999999997E-2</v>
      </c>
      <c r="J48" s="1">
        <v>2.1999999999999999E-23</v>
      </c>
      <c r="K48">
        <v>0.84419999999999995</v>
      </c>
      <c r="L48">
        <v>1331.4933000000001</v>
      </c>
      <c r="M48">
        <v>5046.7102999999997</v>
      </c>
      <c r="N48">
        <v>147.19309999999999</v>
      </c>
      <c r="O48">
        <v>4149.1990999999998</v>
      </c>
      <c r="P48">
        <v>-193.0915</v>
      </c>
      <c r="Q48" s="1">
        <v>6.3400000000000002E-54</v>
      </c>
      <c r="R48" s="1">
        <v>1.26E-9</v>
      </c>
      <c r="S48" s="1">
        <v>1.68E-11</v>
      </c>
      <c r="T48" s="1">
        <v>9.7599999999999992E-15</v>
      </c>
      <c r="U48">
        <v>0.87480000000000002</v>
      </c>
      <c r="V48">
        <v>1314.4659999999999</v>
      </c>
      <c r="W48">
        <v>4206.5789000000004</v>
      </c>
      <c r="X48">
        <v>229.36840000000001</v>
      </c>
      <c r="Y48">
        <v>593.46640000000002</v>
      </c>
      <c r="Z48">
        <v>-290.4966</v>
      </c>
      <c r="AA48" s="1">
        <v>2.01E-32</v>
      </c>
      <c r="AB48" s="1">
        <v>5.0199999999999997E-23</v>
      </c>
      <c r="AC48">
        <v>0.40429999999999999</v>
      </c>
      <c r="AD48" s="1">
        <v>1.1E-28</v>
      </c>
      <c r="AE48">
        <v>0.84030000000000005</v>
      </c>
      <c r="AF48">
        <v>1333.4258</v>
      </c>
      <c r="AG48">
        <f t="shared" si="0"/>
        <v>0.87480000000000002</v>
      </c>
      <c r="AH48" t="str">
        <f t="shared" si="1"/>
        <v>Jun 2020</v>
      </c>
      <c r="AI48">
        <f t="shared" si="2"/>
        <v>1314.4659999999999</v>
      </c>
      <c r="AJ48" t="str">
        <f t="shared" si="3"/>
        <v>Jun 2020</v>
      </c>
    </row>
    <row r="49" spans="1:36" x14ac:dyDescent="0.2">
      <c r="A49">
        <v>85390</v>
      </c>
      <c r="B49" t="s">
        <v>69</v>
      </c>
      <c r="C49">
        <v>644.04499999999996</v>
      </c>
      <c r="D49">
        <v>43.530799999999999</v>
      </c>
      <c r="E49">
        <v>1272.0891999999999</v>
      </c>
      <c r="F49">
        <v>-48.8628</v>
      </c>
      <c r="G49" s="1">
        <v>5.7200000000000003E-8</v>
      </c>
      <c r="H49" s="1">
        <v>2.0899999999999999E-6</v>
      </c>
      <c r="I49" s="1">
        <v>1.5300000000000001E-8</v>
      </c>
      <c r="J49" s="1">
        <v>5.6400000000000002E-7</v>
      </c>
      <c r="K49">
        <v>0.91390000000000005</v>
      </c>
      <c r="L49">
        <v>1133.1189999999999</v>
      </c>
      <c r="M49">
        <v>946.23450000000003</v>
      </c>
      <c r="N49">
        <v>14.340400000000001</v>
      </c>
      <c r="O49">
        <v>1610.1631</v>
      </c>
      <c r="P49">
        <v>-4.4943</v>
      </c>
      <c r="Q49" s="1">
        <v>1.3200000000000001E-93</v>
      </c>
      <c r="R49">
        <v>8.0000000000000004E-4</v>
      </c>
      <c r="S49" s="1">
        <v>4.8399999999999996E-13</v>
      </c>
      <c r="T49">
        <v>0.52790000000000004</v>
      </c>
      <c r="U49">
        <v>0.9083</v>
      </c>
      <c r="V49">
        <v>1138.0107</v>
      </c>
      <c r="W49">
        <v>540.81780000000003</v>
      </c>
      <c r="X49">
        <v>52.308599999999998</v>
      </c>
      <c r="Y49">
        <v>967.3383</v>
      </c>
      <c r="Z49">
        <v>-58.167000000000002</v>
      </c>
      <c r="AA49">
        <v>2.0000000000000001E-4</v>
      </c>
      <c r="AB49" s="1">
        <v>1.8300000000000001E-7</v>
      </c>
      <c r="AC49">
        <v>2.0000000000000001E-4</v>
      </c>
      <c r="AD49" s="1">
        <v>3.9799999999999999E-8</v>
      </c>
      <c r="AE49">
        <v>0.89</v>
      </c>
      <c r="AF49">
        <v>1152.2011</v>
      </c>
      <c r="AG49">
        <f t="shared" si="0"/>
        <v>0.91390000000000005</v>
      </c>
      <c r="AH49" t="str">
        <f t="shared" si="1"/>
        <v>Jan 2021</v>
      </c>
      <c r="AI49">
        <f t="shared" si="2"/>
        <v>1133.1189999999999</v>
      </c>
      <c r="AJ49" t="str">
        <f t="shared" si="3"/>
        <v>Jan 2021</v>
      </c>
    </row>
    <row r="50" spans="1:36" x14ac:dyDescent="0.2">
      <c r="A50">
        <v>85576</v>
      </c>
      <c r="B50" t="s">
        <v>70</v>
      </c>
      <c r="C50">
        <v>640.39639999999997</v>
      </c>
      <c r="D50">
        <v>8.9488000000000003</v>
      </c>
      <c r="E50">
        <v>199.01779999999999</v>
      </c>
      <c r="F50">
        <v>-5.7572999999999999</v>
      </c>
      <c r="G50" s="1">
        <v>3.41E-35</v>
      </c>
      <c r="H50">
        <v>1.4800000000000001E-2</v>
      </c>
      <c r="I50">
        <v>8.8400000000000006E-2</v>
      </c>
      <c r="J50">
        <v>0.23860000000000001</v>
      </c>
      <c r="K50">
        <v>0.53539999999999999</v>
      </c>
      <c r="L50">
        <v>1070.9050999999999</v>
      </c>
      <c r="M50">
        <v>749.33789999999999</v>
      </c>
      <c r="N50">
        <v>-1.7704</v>
      </c>
      <c r="O50">
        <v>405.58909999999997</v>
      </c>
      <c r="P50">
        <v>5.6966999999999999</v>
      </c>
      <c r="Q50" s="1">
        <v>1.74E-59</v>
      </c>
      <c r="R50">
        <v>0.56630000000000003</v>
      </c>
      <c r="S50" s="1">
        <v>1.26E-6</v>
      </c>
      <c r="T50">
        <v>0.1502</v>
      </c>
      <c r="U50">
        <v>0.60109999999999997</v>
      </c>
      <c r="V50">
        <v>1059.0147999999999</v>
      </c>
      <c r="W50">
        <v>639.57090000000005</v>
      </c>
      <c r="X50">
        <v>9.0359999999999996</v>
      </c>
      <c r="Y50">
        <v>221.67789999999999</v>
      </c>
      <c r="Z50">
        <v>-7.2008999999999999</v>
      </c>
      <c r="AA50" s="1">
        <v>2.3800000000000001E-40</v>
      </c>
      <c r="AB50">
        <v>2.7000000000000001E-3</v>
      </c>
      <c r="AC50">
        <v>4.2299999999999997E-2</v>
      </c>
      <c r="AD50">
        <v>0.10829999999999999</v>
      </c>
      <c r="AE50">
        <v>0.54549999999999998</v>
      </c>
      <c r="AF50">
        <v>1069.201</v>
      </c>
      <c r="AG50">
        <f t="shared" si="0"/>
        <v>0.60109999999999997</v>
      </c>
      <c r="AH50" t="str">
        <f t="shared" si="1"/>
        <v>Jun 2020</v>
      </c>
      <c r="AI50">
        <f t="shared" si="2"/>
        <v>1059.0147999999999</v>
      </c>
      <c r="AJ50" t="str">
        <f t="shared" si="3"/>
        <v>Jun 2020</v>
      </c>
    </row>
    <row r="51" spans="1:36" x14ac:dyDescent="0.2">
      <c r="A51">
        <v>85597</v>
      </c>
      <c r="B51" t="s">
        <v>71</v>
      </c>
      <c r="C51">
        <v>363.5616</v>
      </c>
      <c r="D51">
        <v>2.9933000000000001</v>
      </c>
      <c r="E51">
        <v>198.9084</v>
      </c>
      <c r="F51">
        <v>-0.54359999999999997</v>
      </c>
      <c r="G51" s="1">
        <v>2.83E-112</v>
      </c>
      <c r="H51">
        <v>2.4199999999999999E-2</v>
      </c>
      <c r="I51" s="1">
        <v>8.7800000000000006E-5</v>
      </c>
      <c r="J51">
        <v>0.77410000000000001</v>
      </c>
      <c r="K51">
        <v>0.73460000000000003</v>
      </c>
      <c r="L51">
        <v>945.69920000000002</v>
      </c>
      <c r="M51">
        <v>398.33100000000002</v>
      </c>
      <c r="N51">
        <v>-0.45469999999999999</v>
      </c>
      <c r="O51">
        <v>189.6908</v>
      </c>
      <c r="P51">
        <v>5.07</v>
      </c>
      <c r="Q51" s="1">
        <v>2.5700000000000001E-83</v>
      </c>
      <c r="R51">
        <v>0.79159999999999997</v>
      </c>
      <c r="S51">
        <v>1E-4</v>
      </c>
      <c r="T51">
        <v>1.7600000000000001E-2</v>
      </c>
      <c r="U51">
        <v>0.72350000000000003</v>
      </c>
      <c r="V51">
        <v>948.89210000000003</v>
      </c>
      <c r="W51">
        <v>347.31169999999997</v>
      </c>
      <c r="X51">
        <v>4.3685999999999998</v>
      </c>
      <c r="Y51">
        <v>168.1217</v>
      </c>
      <c r="Z51">
        <v>-2.1027</v>
      </c>
      <c r="AA51" s="1">
        <v>2.6899999999999997E-82</v>
      </c>
      <c r="AB51">
        <v>1.5E-3</v>
      </c>
      <c r="AC51">
        <v>1.8E-3</v>
      </c>
      <c r="AD51">
        <v>0.3372</v>
      </c>
      <c r="AE51">
        <v>0.7157</v>
      </c>
      <c r="AF51">
        <v>951.05489999999998</v>
      </c>
      <c r="AG51">
        <f t="shared" si="0"/>
        <v>0.73460000000000003</v>
      </c>
      <c r="AH51" t="str">
        <f t="shared" si="1"/>
        <v>Jan 2021</v>
      </c>
      <c r="AI51">
        <f t="shared" si="2"/>
        <v>945.69920000000002</v>
      </c>
      <c r="AJ51" t="str">
        <f t="shared" si="3"/>
        <v>Jan 2021</v>
      </c>
    </row>
    <row r="52" spans="1:36" x14ac:dyDescent="0.2">
      <c r="A52">
        <v>85610</v>
      </c>
      <c r="B52" t="s">
        <v>72</v>
      </c>
      <c r="C52">
        <v>443088.59009999997</v>
      </c>
      <c r="D52">
        <v>-641.50509999999997</v>
      </c>
      <c r="E52">
        <v>41096.6302</v>
      </c>
      <c r="F52">
        <v>-1019.9884</v>
      </c>
      <c r="G52">
        <v>0</v>
      </c>
      <c r="H52">
        <v>0.30170000000000002</v>
      </c>
      <c r="I52">
        <v>4.5900000000000003E-2</v>
      </c>
      <c r="J52">
        <v>0.17150000000000001</v>
      </c>
      <c r="K52">
        <v>0.18770000000000001</v>
      </c>
      <c r="L52">
        <v>1860.5262</v>
      </c>
      <c r="M52">
        <v>451760.84830000001</v>
      </c>
      <c r="N52">
        <v>-1488.1886999999999</v>
      </c>
      <c r="O52">
        <v>47008.702299999997</v>
      </c>
      <c r="P52">
        <v>300.19349999999997</v>
      </c>
      <c r="Q52" s="1">
        <v>1.58E-260</v>
      </c>
      <c r="R52">
        <v>0.25850000000000001</v>
      </c>
      <c r="S52">
        <v>8.4599999999999995E-2</v>
      </c>
      <c r="T52">
        <v>0.82620000000000005</v>
      </c>
      <c r="U52">
        <v>0.18049999999999999</v>
      </c>
      <c r="V52">
        <v>1861.2173</v>
      </c>
      <c r="W52">
        <v>441374.91090000002</v>
      </c>
      <c r="X52">
        <v>-495.2697</v>
      </c>
      <c r="Y52">
        <v>39706.891900000002</v>
      </c>
      <c r="Z52">
        <v>-1327.7375</v>
      </c>
      <c r="AA52">
        <v>0</v>
      </c>
      <c r="AB52">
        <v>0.3236</v>
      </c>
      <c r="AC52">
        <v>4.4600000000000001E-2</v>
      </c>
      <c r="AD52">
        <v>5.74E-2</v>
      </c>
      <c r="AE52">
        <v>0.192</v>
      </c>
      <c r="AF52">
        <v>1860.1085</v>
      </c>
      <c r="AG52">
        <f t="shared" si="0"/>
        <v>0.192</v>
      </c>
      <c r="AH52" t="str">
        <f t="shared" si="1"/>
        <v>Mar 2021</v>
      </c>
      <c r="AI52">
        <f t="shared" si="2"/>
        <v>1860.1085</v>
      </c>
      <c r="AJ52" t="str">
        <f t="shared" si="3"/>
        <v>Mar 2021</v>
      </c>
    </row>
    <row r="53" spans="1:36" x14ac:dyDescent="0.2">
      <c r="A53">
        <v>85652</v>
      </c>
      <c r="B53" t="s">
        <v>73</v>
      </c>
      <c r="C53">
        <v>129423.0646</v>
      </c>
      <c r="D53">
        <v>590.21849999999995</v>
      </c>
      <c r="E53">
        <v>38853.591099999998</v>
      </c>
      <c r="F53">
        <v>-302.23820000000001</v>
      </c>
      <c r="G53">
        <v>0</v>
      </c>
      <c r="H53">
        <v>5.1799999999999999E-2</v>
      </c>
      <c r="I53" s="1">
        <v>5.0500000000000001E-5</v>
      </c>
      <c r="J53">
        <v>0.4083</v>
      </c>
      <c r="K53">
        <v>0.73350000000000004</v>
      </c>
      <c r="L53">
        <v>1757.4509</v>
      </c>
      <c r="M53">
        <v>134934.28969999999</v>
      </c>
      <c r="N53">
        <v>47.346299999999999</v>
      </c>
      <c r="O53">
        <v>34498.896399999998</v>
      </c>
      <c r="P53">
        <v>709.26819999999998</v>
      </c>
      <c r="Q53" s="1">
        <v>4.5000000000000001E-125</v>
      </c>
      <c r="R53">
        <v>0.93740000000000001</v>
      </c>
      <c r="S53">
        <v>9.1999999999999998E-3</v>
      </c>
      <c r="T53">
        <v>0.27410000000000001</v>
      </c>
      <c r="U53">
        <v>0.7046</v>
      </c>
      <c r="V53">
        <v>1765.4747</v>
      </c>
      <c r="W53">
        <v>127557.48579999999</v>
      </c>
      <c r="X53">
        <v>748.25540000000001</v>
      </c>
      <c r="Y53">
        <v>38132.149400000002</v>
      </c>
      <c r="Z53">
        <v>-604.17780000000005</v>
      </c>
      <c r="AA53">
        <v>0</v>
      </c>
      <c r="AB53">
        <v>4.1000000000000003E-3</v>
      </c>
      <c r="AC53" s="1">
        <v>1.31E-5</v>
      </c>
      <c r="AD53">
        <v>7.2599999999999998E-2</v>
      </c>
      <c r="AE53">
        <v>0.73540000000000005</v>
      </c>
      <c r="AF53">
        <v>1756.8859</v>
      </c>
      <c r="AG53">
        <f t="shared" si="0"/>
        <v>0.73540000000000005</v>
      </c>
      <c r="AH53" t="str">
        <f t="shared" si="1"/>
        <v>Mar 2021</v>
      </c>
      <c r="AI53">
        <f t="shared" si="2"/>
        <v>1756.8859</v>
      </c>
      <c r="AJ53" t="str">
        <f t="shared" si="3"/>
        <v>Mar 2021</v>
      </c>
    </row>
    <row r="54" spans="1:36" x14ac:dyDescent="0.2">
      <c r="A54">
        <v>85730</v>
      </c>
      <c r="B54" t="s">
        <v>74</v>
      </c>
      <c r="C54">
        <v>189253.04800000001</v>
      </c>
      <c r="D54">
        <v>1004.9131</v>
      </c>
      <c r="E54">
        <v>19954.325799999999</v>
      </c>
      <c r="F54">
        <v>-1757.9862000000001</v>
      </c>
      <c r="G54">
        <v>0</v>
      </c>
      <c r="H54">
        <v>7.4999999999999997E-3</v>
      </c>
      <c r="I54">
        <v>0.11310000000000001</v>
      </c>
      <c r="J54">
        <v>1E-4</v>
      </c>
      <c r="K54">
        <v>0.35470000000000002</v>
      </c>
      <c r="L54">
        <v>1779.5725</v>
      </c>
      <c r="M54">
        <v>193825.04829999999</v>
      </c>
      <c r="N54">
        <v>548.34379999999999</v>
      </c>
      <c r="O54">
        <v>31245.683799999999</v>
      </c>
      <c r="P54">
        <v>-1033.4340999999999</v>
      </c>
      <c r="Q54" s="1">
        <v>9.2999999999999996E-132</v>
      </c>
      <c r="R54">
        <v>0.49769999999999998</v>
      </c>
      <c r="S54">
        <v>6.2899999999999998E-2</v>
      </c>
      <c r="T54">
        <v>0.2172</v>
      </c>
      <c r="U54">
        <v>0.34899999999999998</v>
      </c>
      <c r="V54">
        <v>1780.2584999999999</v>
      </c>
      <c r="W54">
        <v>188823.5466</v>
      </c>
      <c r="X54">
        <v>1041.9704999999999</v>
      </c>
      <c r="Y54">
        <v>18111.888900000002</v>
      </c>
      <c r="Z54">
        <v>-1892.2408</v>
      </c>
      <c r="AA54">
        <v>0</v>
      </c>
      <c r="AB54">
        <v>4.0000000000000002E-4</v>
      </c>
      <c r="AC54">
        <v>0.13239999999999999</v>
      </c>
      <c r="AD54" s="1">
        <v>5.9100000000000002E-6</v>
      </c>
      <c r="AE54">
        <v>0.36159999999999998</v>
      </c>
      <c r="AF54">
        <v>1778.7281</v>
      </c>
      <c r="AG54">
        <f t="shared" si="0"/>
        <v>0.36159999999999998</v>
      </c>
      <c r="AH54" t="str">
        <f t="shared" si="1"/>
        <v>Mar 2021</v>
      </c>
      <c r="AI54">
        <f t="shared" si="2"/>
        <v>1778.7281</v>
      </c>
      <c r="AJ54" t="str">
        <f t="shared" si="3"/>
        <v>Mar 2021</v>
      </c>
    </row>
    <row r="55" spans="1:36" x14ac:dyDescent="0.2">
      <c r="A55">
        <v>86038</v>
      </c>
      <c r="B55" t="s">
        <v>75</v>
      </c>
      <c r="C55">
        <v>63735.264300000003</v>
      </c>
      <c r="D55">
        <v>12.977</v>
      </c>
      <c r="E55">
        <v>18531.267899999999</v>
      </c>
      <c r="F55">
        <v>150.38910000000001</v>
      </c>
      <c r="G55" s="1">
        <v>8.7599999999999996E-236</v>
      </c>
      <c r="H55">
        <v>0.9425</v>
      </c>
      <c r="I55">
        <v>1E-3</v>
      </c>
      <c r="J55">
        <v>0.48470000000000002</v>
      </c>
      <c r="K55">
        <v>0.58689999999999998</v>
      </c>
      <c r="L55">
        <v>1665.8472999999999</v>
      </c>
      <c r="M55">
        <v>67351.779299999995</v>
      </c>
      <c r="N55">
        <v>-343.76010000000002</v>
      </c>
      <c r="O55">
        <v>17441.791700000002</v>
      </c>
      <c r="P55">
        <v>692.78369999999995</v>
      </c>
      <c r="Q55" s="1">
        <v>1.2000000000000001E-100</v>
      </c>
      <c r="R55">
        <v>0.29449999999999998</v>
      </c>
      <c r="S55">
        <v>1.26E-2</v>
      </c>
      <c r="T55">
        <v>4.6600000000000003E-2</v>
      </c>
      <c r="U55">
        <v>0.58460000000000001</v>
      </c>
      <c r="V55">
        <v>1666.28</v>
      </c>
      <c r="W55">
        <v>62791.2065</v>
      </c>
      <c r="X55">
        <v>92.739900000000006</v>
      </c>
      <c r="Y55">
        <v>18659.3632</v>
      </c>
      <c r="Z55">
        <v>2.2542</v>
      </c>
      <c r="AA55" s="1">
        <v>1.78E-276</v>
      </c>
      <c r="AB55">
        <v>0.5343</v>
      </c>
      <c r="AC55">
        <v>2.9999999999999997E-4</v>
      </c>
      <c r="AD55">
        <v>0.9909</v>
      </c>
      <c r="AE55">
        <v>0.58799999999999997</v>
      </c>
      <c r="AF55">
        <v>1665.6447000000001</v>
      </c>
      <c r="AG55">
        <f t="shared" si="0"/>
        <v>0.58799999999999997</v>
      </c>
      <c r="AH55" t="str">
        <f t="shared" si="1"/>
        <v>Mar 2021</v>
      </c>
      <c r="AI55">
        <f t="shared" si="2"/>
        <v>1665.6447000000001</v>
      </c>
      <c r="AJ55" t="str">
        <f t="shared" si="3"/>
        <v>Mar 2021</v>
      </c>
    </row>
    <row r="56" spans="1:36" x14ac:dyDescent="0.2">
      <c r="A56">
        <v>86140</v>
      </c>
      <c r="B56" t="s">
        <v>76</v>
      </c>
      <c r="C56">
        <v>144714.30179999999</v>
      </c>
      <c r="D56">
        <v>1729.2256</v>
      </c>
      <c r="E56">
        <v>47514.5242</v>
      </c>
      <c r="F56">
        <v>-1568.0454999999999</v>
      </c>
      <c r="G56" s="1">
        <v>9.7300000000000005E-269</v>
      </c>
      <c r="H56" s="1">
        <v>1.4499999999999999E-7</v>
      </c>
      <c r="I56" s="1">
        <v>1.77E-6</v>
      </c>
      <c r="J56" s="1">
        <v>6.4800000000000003E-5</v>
      </c>
      <c r="K56">
        <v>0.84730000000000005</v>
      </c>
      <c r="L56">
        <v>1766.9908</v>
      </c>
      <c r="M56">
        <v>152434.90340000001</v>
      </c>
      <c r="N56">
        <v>970.73350000000005</v>
      </c>
      <c r="O56">
        <v>51003.770400000001</v>
      </c>
      <c r="P56">
        <v>-199.16319999999999</v>
      </c>
      <c r="Q56" s="1">
        <v>7.9300000000000001E-169</v>
      </c>
      <c r="R56">
        <v>7.8E-2</v>
      </c>
      <c r="S56" s="1">
        <v>8.1799999999999996E-5</v>
      </c>
      <c r="T56">
        <v>0.74650000000000005</v>
      </c>
      <c r="U56">
        <v>0.82440000000000002</v>
      </c>
      <c r="V56">
        <v>1777.9096999999999</v>
      </c>
      <c r="W56">
        <v>142444.52230000001</v>
      </c>
      <c r="X56">
        <v>1922.8735999999999</v>
      </c>
      <c r="Y56">
        <v>43713.7</v>
      </c>
      <c r="Z56">
        <v>-1918.7381</v>
      </c>
      <c r="AA56" s="1">
        <v>1.3699999999999999E-246</v>
      </c>
      <c r="AB56" s="1">
        <v>3.5600000000000001E-10</v>
      </c>
      <c r="AC56" s="1">
        <v>3.9700000000000001E-6</v>
      </c>
      <c r="AD56" s="1">
        <v>2.7000000000000001E-7</v>
      </c>
      <c r="AE56">
        <v>0.84699999999999998</v>
      </c>
      <c r="AF56">
        <v>1767.1665</v>
      </c>
      <c r="AG56">
        <f t="shared" si="0"/>
        <v>0.84730000000000005</v>
      </c>
      <c r="AH56" t="str">
        <f t="shared" si="1"/>
        <v>Jan 2021</v>
      </c>
      <c r="AI56">
        <f t="shared" si="2"/>
        <v>1766.9908</v>
      </c>
      <c r="AJ56" t="str">
        <f t="shared" si="3"/>
        <v>Jan 2021</v>
      </c>
    </row>
    <row r="57" spans="1:36" x14ac:dyDescent="0.2">
      <c r="A57">
        <v>86146</v>
      </c>
      <c r="B57" t="s">
        <v>77</v>
      </c>
      <c r="C57">
        <v>2520.9429</v>
      </c>
      <c r="D57">
        <v>68.487399999999994</v>
      </c>
      <c r="E57">
        <v>1454.9102</v>
      </c>
      <c r="F57">
        <v>-15.022600000000001</v>
      </c>
      <c r="G57" s="1">
        <v>6.6800000000000003E-82</v>
      </c>
      <c r="H57" s="1">
        <v>1.65E-10</v>
      </c>
      <c r="I57" s="1">
        <v>5.3100000000000003E-5</v>
      </c>
      <c r="J57">
        <v>0.30640000000000001</v>
      </c>
      <c r="K57">
        <v>0.88690000000000002</v>
      </c>
      <c r="L57">
        <v>1264.9395999999999</v>
      </c>
      <c r="M57">
        <v>2757.2620999999999</v>
      </c>
      <c r="N57">
        <v>45.200499999999998</v>
      </c>
      <c r="O57">
        <v>1389.2236</v>
      </c>
      <c r="P57">
        <v>25.2788</v>
      </c>
      <c r="Q57" s="1">
        <v>9.5800000000000004E-58</v>
      </c>
      <c r="R57">
        <v>1.2E-2</v>
      </c>
      <c r="S57">
        <v>1.1000000000000001E-3</v>
      </c>
      <c r="T57">
        <v>0.21779999999999999</v>
      </c>
      <c r="U57">
        <v>0.87980000000000003</v>
      </c>
      <c r="V57">
        <v>1269.6697999999999</v>
      </c>
      <c r="W57">
        <v>2442.7530000000002</v>
      </c>
      <c r="X57">
        <v>75.121499999999997</v>
      </c>
      <c r="Y57">
        <v>1381.0261</v>
      </c>
      <c r="Z57">
        <v>-26.248200000000001</v>
      </c>
      <c r="AA57" s="1">
        <v>1.63E-74</v>
      </c>
      <c r="AB57" s="1">
        <v>6.4900000000000001E-15</v>
      </c>
      <c r="AC57">
        <v>1E-4</v>
      </c>
      <c r="AD57">
        <v>8.2400000000000001E-2</v>
      </c>
      <c r="AE57">
        <v>0.88600000000000001</v>
      </c>
      <c r="AF57">
        <v>1265.5685000000001</v>
      </c>
      <c r="AG57">
        <f t="shared" si="0"/>
        <v>0.88690000000000002</v>
      </c>
      <c r="AH57" t="str">
        <f t="shared" si="1"/>
        <v>Jan 2021</v>
      </c>
      <c r="AI57">
        <f t="shared" si="2"/>
        <v>1264.9395999999999</v>
      </c>
      <c r="AJ57" t="str">
        <f t="shared" si="3"/>
        <v>Jan 2021</v>
      </c>
    </row>
    <row r="58" spans="1:36" x14ac:dyDescent="0.2">
      <c r="A58">
        <v>86147</v>
      </c>
      <c r="B58" t="s">
        <v>77</v>
      </c>
      <c r="C58">
        <v>4343.0931</v>
      </c>
      <c r="D58">
        <v>68.267700000000005</v>
      </c>
      <c r="E58">
        <v>1926.7094</v>
      </c>
      <c r="F58">
        <v>-4.5171000000000001</v>
      </c>
      <c r="G58" s="1">
        <v>4.4299999999999997E-128</v>
      </c>
      <c r="H58" s="1">
        <v>7.8699999999999992E-6</v>
      </c>
      <c r="I58">
        <v>1E-4</v>
      </c>
      <c r="J58">
        <v>0.82240000000000002</v>
      </c>
      <c r="K58">
        <v>0.85819999999999996</v>
      </c>
      <c r="L58">
        <v>1309.8905999999999</v>
      </c>
      <c r="M58">
        <v>4681.1310000000003</v>
      </c>
      <c r="N58">
        <v>35.054699999999997</v>
      </c>
      <c r="O58">
        <v>1814.5497</v>
      </c>
      <c r="P58">
        <v>50.042200000000001</v>
      </c>
      <c r="Q58" s="1">
        <v>1.3100000000000001E-76</v>
      </c>
      <c r="R58">
        <v>0.1764</v>
      </c>
      <c r="S58">
        <v>2.3E-3</v>
      </c>
      <c r="T58">
        <v>8.3900000000000002E-2</v>
      </c>
      <c r="U58">
        <v>0.85250000000000004</v>
      </c>
      <c r="V58">
        <v>1312.9860000000001</v>
      </c>
      <c r="W58">
        <v>4235.2753000000002</v>
      </c>
      <c r="X58">
        <v>77.407600000000002</v>
      </c>
      <c r="Y58">
        <v>1846.6514</v>
      </c>
      <c r="Z58">
        <v>-19.585999999999999</v>
      </c>
      <c r="AA58" s="1">
        <v>4.4700000000000002E-124</v>
      </c>
      <c r="AB58" s="1">
        <v>1.15E-8</v>
      </c>
      <c r="AC58">
        <v>2.0000000000000001E-4</v>
      </c>
      <c r="AD58">
        <v>0.33610000000000001</v>
      </c>
      <c r="AE58">
        <v>0.85660000000000003</v>
      </c>
      <c r="AF58">
        <v>1310.7557999999999</v>
      </c>
      <c r="AG58">
        <f t="shared" si="0"/>
        <v>0.85819999999999996</v>
      </c>
      <c r="AH58" t="str">
        <f t="shared" si="1"/>
        <v>Jan 2021</v>
      </c>
      <c r="AI58">
        <f t="shared" si="2"/>
        <v>1309.8905999999999</v>
      </c>
      <c r="AJ58" t="str">
        <f t="shared" si="3"/>
        <v>Jan 2021</v>
      </c>
    </row>
    <row r="59" spans="1:36" x14ac:dyDescent="0.2">
      <c r="A59">
        <v>86148</v>
      </c>
      <c r="B59" t="s">
        <v>78</v>
      </c>
      <c r="C59">
        <v>656.75379999999996</v>
      </c>
      <c r="D59">
        <v>18.050599999999999</v>
      </c>
      <c r="E59">
        <v>580.37139999999999</v>
      </c>
      <c r="F59">
        <v>-49.354700000000001</v>
      </c>
      <c r="G59" s="1">
        <v>2.1300000000000001E-93</v>
      </c>
      <c r="H59" s="1">
        <v>2.5600000000000002E-13</v>
      </c>
      <c r="I59" s="1">
        <v>4.7899999999999999E-6</v>
      </c>
      <c r="J59" s="1">
        <v>2.96E-35</v>
      </c>
      <c r="K59">
        <v>0.65310000000000001</v>
      </c>
      <c r="L59">
        <v>1092.0981999999999</v>
      </c>
      <c r="M59">
        <v>673.98620000000005</v>
      </c>
      <c r="N59">
        <v>16.3581</v>
      </c>
      <c r="O59">
        <v>588.96320000000003</v>
      </c>
      <c r="P59">
        <v>-36.989899999999999</v>
      </c>
      <c r="Q59" s="1">
        <v>1.3499999999999999E-35</v>
      </c>
      <c r="R59">
        <v>4.3E-3</v>
      </c>
      <c r="S59">
        <v>5.9999999999999995E-4</v>
      </c>
      <c r="T59" s="1">
        <v>1.04E-7</v>
      </c>
      <c r="U59">
        <v>0.50319999999999998</v>
      </c>
      <c r="V59">
        <v>1120.1079999999999</v>
      </c>
      <c r="W59">
        <v>649.52229999999997</v>
      </c>
      <c r="X59">
        <v>18.6631</v>
      </c>
      <c r="Y59">
        <v>556.93560000000002</v>
      </c>
      <c r="Z59">
        <v>-53.346899999999998</v>
      </c>
      <c r="AA59" s="1">
        <v>3.4299999999999998E-105</v>
      </c>
      <c r="AB59" s="1">
        <v>4.7499999999999997E-21</v>
      </c>
      <c r="AC59" s="1">
        <v>2.2000000000000001E-6</v>
      </c>
      <c r="AD59" s="1">
        <v>1.15E-48</v>
      </c>
      <c r="AE59">
        <v>0.6875</v>
      </c>
      <c r="AF59">
        <v>1083.9304999999999</v>
      </c>
      <c r="AG59">
        <f t="shared" si="0"/>
        <v>0.6875</v>
      </c>
      <c r="AH59" t="str">
        <f t="shared" si="1"/>
        <v>Mar 2021</v>
      </c>
      <c r="AI59">
        <f t="shared" si="2"/>
        <v>1083.9304999999999</v>
      </c>
      <c r="AJ59" t="str">
        <f t="shared" si="3"/>
        <v>Mar 2021</v>
      </c>
    </row>
    <row r="60" spans="1:36" x14ac:dyDescent="0.2">
      <c r="A60">
        <v>86160</v>
      </c>
      <c r="B60" t="s">
        <v>79</v>
      </c>
      <c r="C60">
        <v>14967.027</v>
      </c>
      <c r="D60">
        <v>81.317499999999995</v>
      </c>
      <c r="E60">
        <v>4269.3086999999996</v>
      </c>
      <c r="F60">
        <v>59.773499999999999</v>
      </c>
      <c r="G60" s="1">
        <v>4.6100000000000001E-208</v>
      </c>
      <c r="H60">
        <v>5.3100000000000001E-2</v>
      </c>
      <c r="I60">
        <v>1.6000000000000001E-3</v>
      </c>
      <c r="J60">
        <v>0.2555</v>
      </c>
      <c r="K60">
        <v>0.76729999999999998</v>
      </c>
      <c r="L60">
        <v>1460.1386</v>
      </c>
      <c r="M60">
        <v>15700.4897</v>
      </c>
      <c r="N60">
        <v>8.9281000000000006</v>
      </c>
      <c r="O60">
        <v>3629.2359000000001</v>
      </c>
      <c r="P60">
        <v>176.0239</v>
      </c>
      <c r="Q60" s="1">
        <v>1.5400000000000001E-84</v>
      </c>
      <c r="R60">
        <v>0.91539999999999999</v>
      </c>
      <c r="S60">
        <v>4.3299999999999998E-2</v>
      </c>
      <c r="T60">
        <v>4.82E-2</v>
      </c>
      <c r="U60">
        <v>0.76249999999999996</v>
      </c>
      <c r="V60">
        <v>1461.7579000000001</v>
      </c>
      <c r="W60">
        <v>14662.1538</v>
      </c>
      <c r="X60">
        <v>107.1268</v>
      </c>
      <c r="Y60">
        <v>3966.5731000000001</v>
      </c>
      <c r="Z60">
        <v>25.485700000000001</v>
      </c>
      <c r="AA60" s="1">
        <v>5.0200000000000005E-206</v>
      </c>
      <c r="AB60">
        <v>4.3E-3</v>
      </c>
      <c r="AC60">
        <v>2.7000000000000001E-3</v>
      </c>
      <c r="AD60">
        <v>0.63229999999999997</v>
      </c>
      <c r="AE60">
        <v>0.76049999999999995</v>
      </c>
      <c r="AF60">
        <v>1462.3994</v>
      </c>
      <c r="AG60">
        <f t="shared" si="0"/>
        <v>0.76729999999999998</v>
      </c>
      <c r="AH60" t="str">
        <f t="shared" si="1"/>
        <v>Jan 2021</v>
      </c>
      <c r="AI60">
        <f t="shared" si="2"/>
        <v>1460.1386</v>
      </c>
      <c r="AJ60" t="str">
        <f t="shared" si="3"/>
        <v>Jan 2021</v>
      </c>
    </row>
    <row r="61" spans="1:36" x14ac:dyDescent="0.2">
      <c r="A61">
        <v>86161</v>
      </c>
      <c r="B61" t="s">
        <v>80</v>
      </c>
      <c r="C61">
        <v>250.88140000000001</v>
      </c>
      <c r="D61">
        <v>6.1798000000000002</v>
      </c>
      <c r="E61">
        <v>39.8444</v>
      </c>
      <c r="F61">
        <v>-2.9005000000000001</v>
      </c>
      <c r="G61" s="1">
        <v>5.3199999999999999E-36</v>
      </c>
      <c r="H61" s="1">
        <v>3.7200000000000003E-5</v>
      </c>
      <c r="I61">
        <v>0.38740000000000002</v>
      </c>
      <c r="J61">
        <v>8.3699999999999997E-2</v>
      </c>
      <c r="K61">
        <v>0.67449999999999999</v>
      </c>
      <c r="L61">
        <v>929.98059999999998</v>
      </c>
      <c r="M61">
        <v>235.8759</v>
      </c>
      <c r="N61">
        <v>7.5679999999999996</v>
      </c>
      <c r="O61">
        <v>2.7258</v>
      </c>
      <c r="P61">
        <v>-3.3285999999999998</v>
      </c>
      <c r="Q61" s="1">
        <v>4.4900000000000001E-13</v>
      </c>
      <c r="R61">
        <v>3.6400000000000002E-2</v>
      </c>
      <c r="S61">
        <v>0.97099999999999997</v>
      </c>
      <c r="T61">
        <v>0.36599999999999999</v>
      </c>
      <c r="U61">
        <v>0.66959999999999997</v>
      </c>
      <c r="V61">
        <v>931.14530000000002</v>
      </c>
      <c r="W61">
        <v>251.8219</v>
      </c>
      <c r="X61">
        <v>6.1078000000000001</v>
      </c>
      <c r="Y61">
        <v>44.621099999999998</v>
      </c>
      <c r="Z61">
        <v>-3.1556000000000002</v>
      </c>
      <c r="AA61" s="1">
        <v>1.4699999999999999E-39</v>
      </c>
      <c r="AB61" s="1">
        <v>1.6400000000000001E-7</v>
      </c>
      <c r="AC61">
        <v>0.27389999999999998</v>
      </c>
      <c r="AD61">
        <v>2.4899999999999999E-2</v>
      </c>
      <c r="AE61">
        <v>0.67679999999999996</v>
      </c>
      <c r="AF61">
        <v>929.41</v>
      </c>
      <c r="AG61">
        <f t="shared" si="0"/>
        <v>0.67679999999999996</v>
      </c>
      <c r="AH61" t="str">
        <f t="shared" si="1"/>
        <v>Mar 2021</v>
      </c>
      <c r="AI61">
        <f t="shared" si="2"/>
        <v>929.41</v>
      </c>
      <c r="AJ61" t="str">
        <f t="shared" si="3"/>
        <v>Mar 2021</v>
      </c>
    </row>
    <row r="62" spans="1:36" x14ac:dyDescent="0.2">
      <c r="A62">
        <v>86162</v>
      </c>
      <c r="B62" t="s">
        <v>81</v>
      </c>
      <c r="C62">
        <v>1310.0255</v>
      </c>
      <c r="D62">
        <v>6.7049000000000003</v>
      </c>
      <c r="E62">
        <v>326.0942</v>
      </c>
      <c r="F62">
        <v>-9.1902000000000008</v>
      </c>
      <c r="G62" s="1">
        <v>2.9399999999999999E-95</v>
      </c>
      <c r="H62">
        <v>8.5500000000000007E-2</v>
      </c>
      <c r="I62">
        <v>7.7999999999999996E-3</v>
      </c>
      <c r="J62">
        <v>7.5700000000000003E-2</v>
      </c>
      <c r="K62">
        <v>0.39800000000000002</v>
      </c>
      <c r="L62">
        <v>1098.6056000000001</v>
      </c>
      <c r="M62">
        <v>1331.4345000000001</v>
      </c>
      <c r="N62">
        <v>4.4763999999999999</v>
      </c>
      <c r="O62">
        <v>270.11279999999999</v>
      </c>
      <c r="P62">
        <v>-2.2987000000000002</v>
      </c>
      <c r="Q62" s="1">
        <v>8.8400000000000007E-50</v>
      </c>
      <c r="R62">
        <v>0.58950000000000002</v>
      </c>
      <c r="S62">
        <v>0.12189999999999999</v>
      </c>
      <c r="T62">
        <v>0.79620000000000002</v>
      </c>
      <c r="U62">
        <v>0.35489999999999999</v>
      </c>
      <c r="V62">
        <v>1104</v>
      </c>
      <c r="W62">
        <v>1310.3279</v>
      </c>
      <c r="X62">
        <v>6.6849999999999996</v>
      </c>
      <c r="Y62">
        <v>374.3202</v>
      </c>
      <c r="Z62">
        <v>-11.6334</v>
      </c>
      <c r="AA62" s="1">
        <v>1.8700000000000001E-104</v>
      </c>
      <c r="AB62">
        <v>3.3700000000000001E-2</v>
      </c>
      <c r="AC62">
        <v>5.9999999999999995E-4</v>
      </c>
      <c r="AD62">
        <v>9.5999999999999992E-3</v>
      </c>
      <c r="AE62">
        <v>0.42799999999999999</v>
      </c>
      <c r="AF62">
        <v>1094.6224</v>
      </c>
      <c r="AG62">
        <f t="shared" si="0"/>
        <v>0.42799999999999999</v>
      </c>
      <c r="AH62" t="str">
        <f t="shared" si="1"/>
        <v>Mar 2021</v>
      </c>
      <c r="AI62">
        <f t="shared" si="2"/>
        <v>1094.6224</v>
      </c>
      <c r="AJ62" t="str">
        <f t="shared" si="3"/>
        <v>Mar 2021</v>
      </c>
    </row>
    <row r="63" spans="1:36" x14ac:dyDescent="0.2">
      <c r="A63">
        <v>86235</v>
      </c>
      <c r="B63" t="s">
        <v>82</v>
      </c>
      <c r="C63">
        <v>17558.409899999999</v>
      </c>
      <c r="D63">
        <v>113.2432</v>
      </c>
      <c r="E63">
        <v>5674.5968999999996</v>
      </c>
      <c r="F63">
        <v>63.438000000000002</v>
      </c>
      <c r="G63" s="1">
        <v>1.2500000000000001E-182</v>
      </c>
      <c r="H63">
        <v>3.5499999999999997E-2</v>
      </c>
      <c r="I63">
        <v>1.1999999999999999E-3</v>
      </c>
      <c r="J63">
        <v>0.3553</v>
      </c>
      <c r="K63">
        <v>0.76959999999999995</v>
      </c>
      <c r="L63">
        <v>1501.204</v>
      </c>
      <c r="M63">
        <v>18451.144799999998</v>
      </c>
      <c r="N63">
        <v>25.083300000000001</v>
      </c>
      <c r="O63">
        <v>4701.616</v>
      </c>
      <c r="P63">
        <v>212.53020000000001</v>
      </c>
      <c r="Q63" s="1">
        <v>6.4599999999999997E-67</v>
      </c>
      <c r="R63">
        <v>0.81610000000000005</v>
      </c>
      <c r="S63">
        <v>3.9800000000000002E-2</v>
      </c>
      <c r="T63">
        <v>6.5500000000000003E-2</v>
      </c>
      <c r="U63">
        <v>0.76139999999999997</v>
      </c>
      <c r="V63">
        <v>1503.9456</v>
      </c>
      <c r="W63">
        <v>17301.149799999999</v>
      </c>
      <c r="X63">
        <v>134.99619999999999</v>
      </c>
      <c r="Y63">
        <v>5891.2111000000004</v>
      </c>
      <c r="Z63">
        <v>17.9407</v>
      </c>
      <c r="AA63" s="1">
        <v>2.02E-223</v>
      </c>
      <c r="AB63">
        <v>2.2000000000000001E-3</v>
      </c>
      <c r="AC63">
        <v>2.9999999999999997E-4</v>
      </c>
      <c r="AD63">
        <v>0.77810000000000001</v>
      </c>
      <c r="AE63">
        <v>0.77229999999999999</v>
      </c>
      <c r="AF63">
        <v>1500.2831000000001</v>
      </c>
      <c r="AG63">
        <f t="shared" si="0"/>
        <v>0.77229999999999999</v>
      </c>
      <c r="AH63" t="str">
        <f t="shared" si="1"/>
        <v>Mar 2021</v>
      </c>
      <c r="AI63">
        <f t="shared" si="2"/>
        <v>1500.2831000000001</v>
      </c>
      <c r="AJ63" t="str">
        <f t="shared" si="3"/>
        <v>Mar 2021</v>
      </c>
    </row>
    <row r="64" spans="1:36" x14ac:dyDescent="0.2">
      <c r="A64">
        <v>86317</v>
      </c>
      <c r="B64" t="s">
        <v>83</v>
      </c>
      <c r="C64">
        <v>20077.7703</v>
      </c>
      <c r="D64">
        <v>6.4749999999999996</v>
      </c>
      <c r="E64">
        <v>1425.5978</v>
      </c>
      <c r="F64">
        <v>422.61939999999998</v>
      </c>
      <c r="G64" s="1">
        <v>8.8499999999999996E-174</v>
      </c>
      <c r="H64">
        <v>0.91879999999999995</v>
      </c>
      <c r="I64">
        <v>0.4713</v>
      </c>
      <c r="J64" s="1">
        <v>5.2899999999999997E-8</v>
      </c>
      <c r="K64">
        <v>0.80320000000000003</v>
      </c>
      <c r="L64">
        <v>1500.7056</v>
      </c>
      <c r="M64">
        <v>20745.1862</v>
      </c>
      <c r="N64">
        <v>-59.345799999999997</v>
      </c>
      <c r="O64">
        <v>133.90469999999999</v>
      </c>
      <c r="P64">
        <v>473.91070000000002</v>
      </c>
      <c r="Q64" s="1">
        <v>2.48E-58</v>
      </c>
      <c r="R64">
        <v>0.6653</v>
      </c>
      <c r="S64">
        <v>0.96189999999999998</v>
      </c>
      <c r="T64">
        <v>8.0000000000000004E-4</v>
      </c>
      <c r="U64">
        <v>0.80600000000000005</v>
      </c>
      <c r="V64">
        <v>1499.6134</v>
      </c>
      <c r="W64">
        <v>20086.744900000002</v>
      </c>
      <c r="X64">
        <v>5.8103999999999996</v>
      </c>
      <c r="Y64">
        <v>2731.7174</v>
      </c>
      <c r="Z64">
        <v>406.74099999999999</v>
      </c>
      <c r="AA64" s="1">
        <v>3.4900000000000001E-217</v>
      </c>
      <c r="AB64">
        <v>0.90669999999999995</v>
      </c>
      <c r="AC64">
        <v>0.12659999999999999</v>
      </c>
      <c r="AD64" s="1">
        <v>3.7900000000000004E-9</v>
      </c>
      <c r="AE64">
        <v>0.80600000000000005</v>
      </c>
      <c r="AF64">
        <v>1499.6010000000001</v>
      </c>
      <c r="AG64">
        <f t="shared" si="0"/>
        <v>0.80600000000000005</v>
      </c>
      <c r="AH64" t="str">
        <f t="shared" si="1"/>
        <v>Jun 2020</v>
      </c>
      <c r="AI64">
        <f t="shared" si="2"/>
        <v>1499.6010000000001</v>
      </c>
      <c r="AJ64" t="str">
        <f t="shared" si="3"/>
        <v>Mar 2021</v>
      </c>
    </row>
    <row r="65" spans="1:36" x14ac:dyDescent="0.2">
      <c r="A65">
        <v>86355</v>
      </c>
      <c r="B65" t="s">
        <v>84</v>
      </c>
      <c r="C65">
        <v>3009.6936999999998</v>
      </c>
      <c r="D65">
        <v>29.217500000000001</v>
      </c>
      <c r="E65">
        <v>451.77030000000002</v>
      </c>
      <c r="F65">
        <v>-12.4536</v>
      </c>
      <c r="G65" s="1">
        <v>4.3699999999999997E-96</v>
      </c>
      <c r="H65">
        <v>2.8E-3</v>
      </c>
      <c r="I65">
        <v>0.12559999999999999</v>
      </c>
      <c r="J65">
        <v>0.2979</v>
      </c>
      <c r="K65">
        <v>0.61860000000000004</v>
      </c>
      <c r="L65">
        <v>1224.6304</v>
      </c>
      <c r="M65">
        <v>2964.3654999999999</v>
      </c>
      <c r="N65">
        <v>33.207900000000002</v>
      </c>
      <c r="O65">
        <v>202.3801</v>
      </c>
      <c r="P65">
        <v>-8.6820000000000004</v>
      </c>
      <c r="Q65" s="1">
        <v>6.32E-38</v>
      </c>
      <c r="R65">
        <v>0.16059999999999999</v>
      </c>
      <c r="S65">
        <v>0.67459999999999998</v>
      </c>
      <c r="T65">
        <v>0.72189999999999999</v>
      </c>
      <c r="U65">
        <v>0.60260000000000002</v>
      </c>
      <c r="V65">
        <v>1227.8181999999999</v>
      </c>
      <c r="W65">
        <v>3027.5668000000001</v>
      </c>
      <c r="X65">
        <v>27.714700000000001</v>
      </c>
      <c r="Y65">
        <v>595.84169999999995</v>
      </c>
      <c r="Z65">
        <v>-15.8369</v>
      </c>
      <c r="AA65" s="1">
        <v>8.8599999999999998E-103</v>
      </c>
      <c r="AB65">
        <v>4.0000000000000002E-4</v>
      </c>
      <c r="AC65">
        <v>2.4199999999999999E-2</v>
      </c>
      <c r="AD65">
        <v>0.11890000000000001</v>
      </c>
      <c r="AE65">
        <v>0.63249999999999995</v>
      </c>
      <c r="AF65">
        <v>1221.7230999999999</v>
      </c>
      <c r="AG65">
        <f t="shared" si="0"/>
        <v>0.63249999999999995</v>
      </c>
      <c r="AH65" t="str">
        <f t="shared" si="1"/>
        <v>Mar 2021</v>
      </c>
      <c r="AI65">
        <f t="shared" si="2"/>
        <v>1221.7230999999999</v>
      </c>
      <c r="AJ65" t="str">
        <f t="shared" si="3"/>
        <v>Mar 2021</v>
      </c>
    </row>
    <row r="66" spans="1:36" x14ac:dyDescent="0.2">
      <c r="A66">
        <v>86357</v>
      </c>
      <c r="B66" t="s">
        <v>85</v>
      </c>
      <c r="C66">
        <v>2518.4069</v>
      </c>
      <c r="D66">
        <v>24.503699999999998</v>
      </c>
      <c r="E66">
        <v>463.60239999999999</v>
      </c>
      <c r="F66">
        <v>-17.843599999999999</v>
      </c>
      <c r="G66" s="1">
        <v>1.09E-99</v>
      </c>
      <c r="H66">
        <v>3.3E-3</v>
      </c>
      <c r="I66">
        <v>6.9099999999999995E-2</v>
      </c>
      <c r="J66">
        <v>7.9299999999999995E-2</v>
      </c>
      <c r="K66">
        <v>0.59319999999999995</v>
      </c>
      <c r="L66">
        <v>1193.0514000000001</v>
      </c>
      <c r="M66">
        <v>2493.1102999999998</v>
      </c>
      <c r="N66">
        <v>26.686699999999998</v>
      </c>
      <c r="O66">
        <v>276.60340000000002</v>
      </c>
      <c r="P66">
        <v>-12.0631</v>
      </c>
      <c r="Q66" s="1">
        <v>1.2299999999999999E-36</v>
      </c>
      <c r="R66">
        <v>0.18890000000000001</v>
      </c>
      <c r="S66">
        <v>0.50209999999999999</v>
      </c>
      <c r="T66">
        <v>0.56499999999999995</v>
      </c>
      <c r="U66">
        <v>0.56640000000000001</v>
      </c>
      <c r="V66">
        <v>1198.0245</v>
      </c>
      <c r="W66">
        <v>2533.5547000000001</v>
      </c>
      <c r="X66">
        <v>23.2346</v>
      </c>
      <c r="Y66">
        <v>585.26520000000005</v>
      </c>
      <c r="Z66">
        <v>-21.2468</v>
      </c>
      <c r="AA66" s="1">
        <v>1.7800000000000001E-107</v>
      </c>
      <c r="AB66">
        <v>5.0000000000000001E-4</v>
      </c>
      <c r="AC66">
        <v>9.9000000000000008E-3</v>
      </c>
      <c r="AD66">
        <v>1.23E-2</v>
      </c>
      <c r="AE66">
        <v>0.6139</v>
      </c>
      <c r="AF66">
        <v>1188.9773</v>
      </c>
      <c r="AG66">
        <f t="shared" si="0"/>
        <v>0.6139</v>
      </c>
      <c r="AH66" t="str">
        <f t="shared" si="1"/>
        <v>Mar 2021</v>
      </c>
      <c r="AI66">
        <f t="shared" si="2"/>
        <v>1188.9773</v>
      </c>
      <c r="AJ66" t="str">
        <f t="shared" si="3"/>
        <v>Mar 2021</v>
      </c>
    </row>
    <row r="67" spans="1:36" x14ac:dyDescent="0.2">
      <c r="A67">
        <v>86359</v>
      </c>
      <c r="B67" t="s">
        <v>86</v>
      </c>
      <c r="C67">
        <v>8931.9534999999996</v>
      </c>
      <c r="D67">
        <v>43.885199999999998</v>
      </c>
      <c r="E67">
        <v>1866.0413000000001</v>
      </c>
      <c r="F67">
        <v>-71.368099999999998</v>
      </c>
      <c r="G67" s="1">
        <v>2.7600000000000001E-189</v>
      </c>
      <c r="H67">
        <v>9.2600000000000002E-2</v>
      </c>
      <c r="I67">
        <v>1.7500000000000002E-2</v>
      </c>
      <c r="J67">
        <v>1.4E-2</v>
      </c>
      <c r="K67">
        <v>0.3982</v>
      </c>
      <c r="L67">
        <v>1362.3806</v>
      </c>
      <c r="M67">
        <v>9127.5517</v>
      </c>
      <c r="N67">
        <v>23.6281</v>
      </c>
      <c r="O67">
        <v>1855.9845</v>
      </c>
      <c r="P67">
        <v>-25.6648</v>
      </c>
      <c r="Q67" s="1">
        <v>1.7700000000000001E-56</v>
      </c>
      <c r="R67">
        <v>0.70230000000000004</v>
      </c>
      <c r="S67">
        <v>0.1386</v>
      </c>
      <c r="T67">
        <v>0.6855</v>
      </c>
      <c r="U67">
        <v>0.36059999999999998</v>
      </c>
      <c r="V67">
        <v>1367.104</v>
      </c>
      <c r="W67">
        <v>8886.6679999999997</v>
      </c>
      <c r="X67">
        <v>47.770400000000002</v>
      </c>
      <c r="Y67">
        <v>1888.5182</v>
      </c>
      <c r="Z67">
        <v>-85.057900000000004</v>
      </c>
      <c r="AA67" s="1">
        <v>1.89E-229</v>
      </c>
      <c r="AB67">
        <v>2.0199999999999999E-2</v>
      </c>
      <c r="AC67">
        <v>7.1999999999999998E-3</v>
      </c>
      <c r="AD67">
        <v>5.0000000000000001E-4</v>
      </c>
      <c r="AE67">
        <v>0.41249999999999998</v>
      </c>
      <c r="AF67">
        <v>1360.5065</v>
      </c>
      <c r="AG67">
        <f t="shared" ref="AG67:AG130" si="4">MAX(K67,U67,AE67)</f>
        <v>0.41249999999999998</v>
      </c>
      <c r="AH67" t="str">
        <f t="shared" ref="AH67:AH130" si="5">IF(AG67=K67,"Jan 2021", IF(AG67=U67,"Jun 2020", IF(AG67=AE67,"Mar 2021")))</f>
        <v>Mar 2021</v>
      </c>
      <c r="AI67">
        <f t="shared" ref="AI67:AI130" si="6">MIN(L67,V67,AF67)</f>
        <v>1360.5065</v>
      </c>
      <c r="AJ67" t="str">
        <f t="shared" ref="AJ67:AJ130" si="7">IF(AI67=L67,"Jan 2021", IF(AI67=V67,"Jun 2020", IF(AI67=AF67,"Mar 2021")))</f>
        <v>Mar 2021</v>
      </c>
    </row>
    <row r="68" spans="1:36" x14ac:dyDescent="0.2">
      <c r="A68">
        <v>86360</v>
      </c>
      <c r="B68" t="s">
        <v>86</v>
      </c>
      <c r="C68">
        <v>16766.6937</v>
      </c>
      <c r="D68">
        <v>72.650800000000004</v>
      </c>
      <c r="E68">
        <v>1411.1786</v>
      </c>
      <c r="F68">
        <v>-93.5715</v>
      </c>
      <c r="G68" s="1">
        <v>1.8E-190</v>
      </c>
      <c r="H68">
        <v>0.10009999999999999</v>
      </c>
      <c r="I68">
        <v>0.27350000000000002</v>
      </c>
      <c r="J68">
        <v>5.2999999999999999E-2</v>
      </c>
      <c r="K68">
        <v>0.2291</v>
      </c>
      <c r="L68">
        <v>1444.5287000000001</v>
      </c>
      <c r="M68">
        <v>17001.1793</v>
      </c>
      <c r="N68">
        <v>47.844299999999997</v>
      </c>
      <c r="O68">
        <v>1907.1996999999999</v>
      </c>
      <c r="P68">
        <v>-50.999400000000001</v>
      </c>
      <c r="Q68" s="1">
        <v>1.7699999999999999E-65</v>
      </c>
      <c r="R68">
        <v>0.64329999999999998</v>
      </c>
      <c r="S68">
        <v>0.35510000000000003</v>
      </c>
      <c r="T68">
        <v>0.62619999999999998</v>
      </c>
      <c r="U68">
        <v>0.22639999999999999</v>
      </c>
      <c r="V68">
        <v>1444.8003000000001</v>
      </c>
      <c r="W68">
        <v>16779.372500000001</v>
      </c>
      <c r="X68">
        <v>71.676900000000003</v>
      </c>
      <c r="Y68">
        <v>1534.7907</v>
      </c>
      <c r="Z68">
        <v>-103.26990000000001</v>
      </c>
      <c r="AA68" s="1">
        <v>9.6199999999999991E-221</v>
      </c>
      <c r="AB68">
        <v>3.9399999999999998E-2</v>
      </c>
      <c r="AC68">
        <v>0.188</v>
      </c>
      <c r="AD68">
        <v>1.06E-2</v>
      </c>
      <c r="AE68">
        <v>0.23749999999999999</v>
      </c>
      <c r="AF68">
        <v>1443.6726000000001</v>
      </c>
      <c r="AG68">
        <f t="shared" si="4"/>
        <v>0.23749999999999999</v>
      </c>
      <c r="AH68" t="str">
        <f t="shared" si="5"/>
        <v>Mar 2021</v>
      </c>
      <c r="AI68">
        <f t="shared" si="6"/>
        <v>1443.6726000000001</v>
      </c>
      <c r="AJ68" t="str">
        <f t="shared" si="7"/>
        <v>Mar 2021</v>
      </c>
    </row>
    <row r="69" spans="1:36" x14ac:dyDescent="0.2">
      <c r="A69">
        <v>86665</v>
      </c>
      <c r="B69" t="s">
        <v>87</v>
      </c>
      <c r="C69">
        <v>10045.8033</v>
      </c>
      <c r="D69">
        <v>-66.033199999999994</v>
      </c>
      <c r="E69">
        <v>2346.5934999999999</v>
      </c>
      <c r="F69">
        <v>156.23269999999999</v>
      </c>
      <c r="G69" s="1">
        <v>2.2E-88</v>
      </c>
      <c r="H69">
        <v>3.8199999999999998E-2</v>
      </c>
      <c r="I69">
        <v>1.9400000000000001E-2</v>
      </c>
      <c r="J69">
        <v>2.9999999999999997E-4</v>
      </c>
      <c r="K69">
        <v>0.4425</v>
      </c>
      <c r="L69">
        <v>1427.4440999999999</v>
      </c>
      <c r="M69">
        <v>9573.0344999999998</v>
      </c>
      <c r="N69">
        <v>-18.093599999999999</v>
      </c>
      <c r="O69">
        <v>-1019.4342</v>
      </c>
      <c r="P69">
        <v>148.98009999999999</v>
      </c>
      <c r="Q69" s="1">
        <v>2.31E-38</v>
      </c>
      <c r="R69">
        <v>0.8034</v>
      </c>
      <c r="S69">
        <v>0.49009999999999998</v>
      </c>
      <c r="T69">
        <v>5.6599999999999998E-2</v>
      </c>
      <c r="U69">
        <v>0.41549999999999998</v>
      </c>
      <c r="V69">
        <v>1431.1378999999999</v>
      </c>
      <c r="W69">
        <v>9992.1579000000002</v>
      </c>
      <c r="X69">
        <v>-61.497900000000001</v>
      </c>
      <c r="Y69">
        <v>2969.0554999999999</v>
      </c>
      <c r="Z69">
        <v>135.89949999999999</v>
      </c>
      <c r="AA69" s="1">
        <v>1.02E-97</v>
      </c>
      <c r="AB69">
        <v>1.8200000000000001E-2</v>
      </c>
      <c r="AC69">
        <v>1.4E-3</v>
      </c>
      <c r="AD69">
        <v>5.0000000000000001E-4</v>
      </c>
      <c r="AE69">
        <v>0.45839999999999997</v>
      </c>
      <c r="AF69">
        <v>1425.1837</v>
      </c>
      <c r="AG69">
        <f t="shared" si="4"/>
        <v>0.45839999999999997</v>
      </c>
      <c r="AH69" t="str">
        <f t="shared" si="5"/>
        <v>Mar 2021</v>
      </c>
      <c r="AI69">
        <f t="shared" si="6"/>
        <v>1425.1837</v>
      </c>
      <c r="AJ69" t="str">
        <f t="shared" si="7"/>
        <v>Mar 2021</v>
      </c>
    </row>
    <row r="70" spans="1:36" x14ac:dyDescent="0.2">
      <c r="A70">
        <v>86769</v>
      </c>
      <c r="B70" t="s">
        <v>88</v>
      </c>
      <c r="C70">
        <v>19015.428599999999</v>
      </c>
      <c r="D70">
        <v>15447.544</v>
      </c>
      <c r="E70">
        <v>-91918.9758</v>
      </c>
      <c r="F70">
        <v>-18615.830999999998</v>
      </c>
      <c r="G70">
        <v>0.58699999999999997</v>
      </c>
      <c r="H70">
        <v>8.0000000000000004E-4</v>
      </c>
      <c r="I70">
        <v>2.5700000000000001E-2</v>
      </c>
      <c r="J70" s="1">
        <v>4.6100000000000002E-5</v>
      </c>
      <c r="K70">
        <v>0.66759999999999997</v>
      </c>
      <c r="L70">
        <v>1328.8658</v>
      </c>
      <c r="M70">
        <v>-42174.333299999998</v>
      </c>
      <c r="N70">
        <v>33142.6</v>
      </c>
      <c r="O70">
        <v>38457.682800000002</v>
      </c>
      <c r="P70">
        <v>-37115.787900000003</v>
      </c>
      <c r="Q70">
        <v>0.1578</v>
      </c>
      <c r="R70">
        <v>1.32E-2</v>
      </c>
      <c r="S70">
        <v>0.40889999999999999</v>
      </c>
      <c r="T70">
        <v>5.7999999999999996E-3</v>
      </c>
      <c r="U70">
        <v>0.78349999999999997</v>
      </c>
      <c r="V70">
        <v>1305.2868000000001</v>
      </c>
      <c r="W70">
        <v>34678.966699999997</v>
      </c>
      <c r="X70">
        <v>11714.642900000001</v>
      </c>
      <c r="Y70">
        <v>-101358.18210000001</v>
      </c>
      <c r="Z70">
        <v>-14554.270200000001</v>
      </c>
      <c r="AA70">
        <v>0.37930000000000003</v>
      </c>
      <c r="AB70">
        <v>1.5E-3</v>
      </c>
      <c r="AC70">
        <v>1E-3</v>
      </c>
      <c r="AD70" s="1">
        <v>7.1000000000000005E-5</v>
      </c>
      <c r="AE70">
        <v>0.65269999999999995</v>
      </c>
      <c r="AF70">
        <v>1331.2807</v>
      </c>
      <c r="AG70">
        <f t="shared" si="4"/>
        <v>0.78349999999999997</v>
      </c>
      <c r="AH70" t="str">
        <f t="shared" si="5"/>
        <v>Jun 2020</v>
      </c>
      <c r="AI70">
        <f t="shared" si="6"/>
        <v>1305.2868000000001</v>
      </c>
      <c r="AJ70" t="str">
        <f t="shared" si="7"/>
        <v>Jun 2020</v>
      </c>
    </row>
    <row r="71" spans="1:36" x14ac:dyDescent="0.2">
      <c r="A71">
        <v>86790</v>
      </c>
      <c r="B71" t="s">
        <v>89</v>
      </c>
      <c r="C71">
        <v>581.6952</v>
      </c>
      <c r="D71">
        <v>13.8873</v>
      </c>
      <c r="E71">
        <v>-214.27539999999999</v>
      </c>
      <c r="F71">
        <v>-9.9425000000000008</v>
      </c>
      <c r="G71" s="1">
        <v>6.8299999999999998E-9</v>
      </c>
      <c r="H71">
        <v>3.8899999999999997E-2</v>
      </c>
      <c r="I71">
        <v>0.2233</v>
      </c>
      <c r="J71">
        <v>0.187</v>
      </c>
      <c r="K71">
        <v>0.2135</v>
      </c>
      <c r="L71">
        <v>1085.3638000000001</v>
      </c>
      <c r="M71">
        <v>778.44140000000004</v>
      </c>
      <c r="N71">
        <v>-5.1497999999999999</v>
      </c>
      <c r="O71">
        <v>430.43540000000002</v>
      </c>
      <c r="P71">
        <v>2.2473000000000001</v>
      </c>
      <c r="Q71" s="1">
        <v>3.7399999999999999E-19</v>
      </c>
      <c r="R71">
        <v>0.37819999999999998</v>
      </c>
      <c r="S71">
        <v>2E-3</v>
      </c>
      <c r="T71">
        <v>0.73270000000000002</v>
      </c>
      <c r="U71">
        <v>0.31659999999999999</v>
      </c>
      <c r="V71">
        <v>1074.4009000000001</v>
      </c>
      <c r="W71">
        <v>574.1377</v>
      </c>
      <c r="X71">
        <v>14.533099999999999</v>
      </c>
      <c r="Y71">
        <v>-316.80849999999998</v>
      </c>
      <c r="Z71">
        <v>-8.1161999999999992</v>
      </c>
      <c r="AA71" s="1">
        <v>3.9E-10</v>
      </c>
      <c r="AB71">
        <v>8.3999999999999995E-3</v>
      </c>
      <c r="AC71">
        <v>4.58E-2</v>
      </c>
      <c r="AD71">
        <v>0.1948</v>
      </c>
      <c r="AE71">
        <v>0.25750000000000001</v>
      </c>
      <c r="AF71">
        <v>1080.8767</v>
      </c>
      <c r="AG71">
        <f t="shared" si="4"/>
        <v>0.31659999999999999</v>
      </c>
      <c r="AH71" t="str">
        <f t="shared" si="5"/>
        <v>Jun 2020</v>
      </c>
      <c r="AI71">
        <f t="shared" si="6"/>
        <v>1074.4009000000001</v>
      </c>
      <c r="AJ71" t="str">
        <f t="shared" si="7"/>
        <v>Jun 2020</v>
      </c>
    </row>
    <row r="72" spans="1:36" x14ac:dyDescent="0.2">
      <c r="A72">
        <v>88305</v>
      </c>
      <c r="B72" t="s">
        <v>90</v>
      </c>
      <c r="C72">
        <v>364877.74469999998</v>
      </c>
      <c r="D72">
        <v>-304.11559999999997</v>
      </c>
      <c r="E72">
        <v>92760.209700000007</v>
      </c>
      <c r="F72">
        <v>144.3092</v>
      </c>
      <c r="G72" s="1">
        <v>2.6399999999999998E-208</v>
      </c>
      <c r="H72">
        <v>0.79369999999999996</v>
      </c>
      <c r="I72">
        <v>9.2999999999999992E-3</v>
      </c>
      <c r="J72">
        <v>0.91190000000000004</v>
      </c>
      <c r="K72">
        <v>0.37490000000000001</v>
      </c>
      <c r="L72">
        <v>1939.1899000000001</v>
      </c>
      <c r="M72">
        <v>384417.22070000001</v>
      </c>
      <c r="N72">
        <v>-2205.9690000000001</v>
      </c>
      <c r="O72">
        <v>92451.497099999993</v>
      </c>
      <c r="P72">
        <v>3006.7781</v>
      </c>
      <c r="Q72" s="1">
        <v>4.6100000000000001E-68</v>
      </c>
      <c r="R72">
        <v>0.34549999999999997</v>
      </c>
      <c r="S72">
        <v>5.2400000000000002E-2</v>
      </c>
      <c r="T72">
        <v>0.21609999999999999</v>
      </c>
      <c r="U72">
        <v>0.37519999999999998</v>
      </c>
      <c r="V72">
        <v>1939.1451999999999</v>
      </c>
      <c r="W72">
        <v>361440.51419999998</v>
      </c>
      <c r="X72">
        <v>-13.8443</v>
      </c>
      <c r="Y72">
        <v>97662.363200000007</v>
      </c>
      <c r="Z72">
        <v>-590.04290000000003</v>
      </c>
      <c r="AA72" s="1">
        <v>3.3900000000000002E-282</v>
      </c>
      <c r="AB72">
        <v>0.98799999999999999</v>
      </c>
      <c r="AC72">
        <v>1.8E-3</v>
      </c>
      <c r="AD72">
        <v>0.59460000000000002</v>
      </c>
      <c r="AE72">
        <v>0.39</v>
      </c>
      <c r="AF72">
        <v>1937.2846</v>
      </c>
      <c r="AG72">
        <f t="shared" si="4"/>
        <v>0.39</v>
      </c>
      <c r="AH72" t="str">
        <f t="shared" si="5"/>
        <v>Mar 2021</v>
      </c>
      <c r="AI72">
        <f t="shared" si="6"/>
        <v>1937.2846</v>
      </c>
      <c r="AJ72" t="str">
        <f t="shared" si="7"/>
        <v>Mar 2021</v>
      </c>
    </row>
    <row r="73" spans="1:36" x14ac:dyDescent="0.2">
      <c r="A73">
        <v>88314</v>
      </c>
      <c r="B73" t="s">
        <v>91</v>
      </c>
      <c r="C73">
        <v>480.10509999999999</v>
      </c>
      <c r="D73">
        <v>-5.9218999999999999</v>
      </c>
      <c r="E73">
        <v>-111.93340000000001</v>
      </c>
      <c r="F73">
        <v>4.9861000000000004</v>
      </c>
      <c r="G73" s="1">
        <v>1.4999999999999999E-75</v>
      </c>
      <c r="H73" s="1">
        <v>1.8499999999999999E-5</v>
      </c>
      <c r="I73">
        <v>8.0999999999999996E-3</v>
      </c>
      <c r="J73">
        <v>2.5999999999999999E-3</v>
      </c>
      <c r="K73">
        <v>0.79290000000000005</v>
      </c>
      <c r="L73">
        <v>887.27750000000003</v>
      </c>
      <c r="M73">
        <v>450</v>
      </c>
      <c r="N73">
        <v>-2.9828000000000001</v>
      </c>
      <c r="O73">
        <v>-156.13329999999999</v>
      </c>
      <c r="P73">
        <v>0.79490000000000005</v>
      </c>
      <c r="Q73" s="1">
        <v>4.6000000000000002E-41</v>
      </c>
      <c r="R73">
        <v>0.20660000000000001</v>
      </c>
      <c r="S73">
        <v>1E-3</v>
      </c>
      <c r="T73">
        <v>0.74409999999999998</v>
      </c>
      <c r="U73">
        <v>0.79859999999999998</v>
      </c>
      <c r="V73">
        <v>885.07399999999996</v>
      </c>
      <c r="W73">
        <v>484.30770000000001</v>
      </c>
      <c r="X73">
        <v>-6.2784000000000004</v>
      </c>
      <c r="Y73">
        <v>-105.435</v>
      </c>
      <c r="Z73">
        <v>5.8064999999999998</v>
      </c>
      <c r="AA73" s="1">
        <v>9.4299999999999996E-83</v>
      </c>
      <c r="AB73" s="1">
        <v>8.9200000000000005E-8</v>
      </c>
      <c r="AC73">
        <v>8.3000000000000001E-3</v>
      </c>
      <c r="AD73">
        <v>2.0000000000000001E-4</v>
      </c>
      <c r="AE73">
        <v>0.79620000000000002</v>
      </c>
      <c r="AF73">
        <v>886.02750000000003</v>
      </c>
      <c r="AG73">
        <f t="shared" si="4"/>
        <v>0.79859999999999998</v>
      </c>
      <c r="AH73" t="str">
        <f t="shared" si="5"/>
        <v>Jun 2020</v>
      </c>
      <c r="AI73">
        <f t="shared" si="6"/>
        <v>885.07399999999996</v>
      </c>
      <c r="AJ73" t="str">
        <f t="shared" si="7"/>
        <v>Jun 2020</v>
      </c>
    </row>
    <row r="74" spans="1:36" x14ac:dyDescent="0.2">
      <c r="A74">
        <v>88341</v>
      </c>
      <c r="B74" t="s">
        <v>91</v>
      </c>
      <c r="C74">
        <v>8172.4084000000003</v>
      </c>
      <c r="D74">
        <v>97.673500000000004</v>
      </c>
      <c r="E74">
        <v>3620.6014</v>
      </c>
      <c r="F74">
        <v>-42.584299999999999</v>
      </c>
      <c r="G74" s="1">
        <v>3.7200000000000003E-114</v>
      </c>
      <c r="H74">
        <v>4.8999999999999998E-3</v>
      </c>
      <c r="I74">
        <v>2.2000000000000001E-3</v>
      </c>
      <c r="J74">
        <v>0.34539999999999998</v>
      </c>
      <c r="K74">
        <v>0.72889999999999999</v>
      </c>
      <c r="L74">
        <v>1428.1296</v>
      </c>
      <c r="M74">
        <v>8798.3102999999992</v>
      </c>
      <c r="N74">
        <v>37.832500000000003</v>
      </c>
      <c r="O74">
        <v>3450.9787999999999</v>
      </c>
      <c r="P74">
        <v>61.547600000000003</v>
      </c>
      <c r="Q74" s="1">
        <v>1.2600000000000001E-51</v>
      </c>
      <c r="R74">
        <v>0.52980000000000005</v>
      </c>
      <c r="S74">
        <v>1.12E-2</v>
      </c>
      <c r="T74">
        <v>0.3624</v>
      </c>
      <c r="U74">
        <v>0.71460000000000001</v>
      </c>
      <c r="V74">
        <v>1432.1378</v>
      </c>
      <c r="W74">
        <v>8029.6922999999997</v>
      </c>
      <c r="X74">
        <v>109.7179</v>
      </c>
      <c r="Y74">
        <v>3663.9488000000001</v>
      </c>
      <c r="Z74">
        <v>-70.712000000000003</v>
      </c>
      <c r="AA74" s="1">
        <v>6.8499999999999994E-151</v>
      </c>
      <c r="AB74" s="1">
        <v>9.5099999999999994E-5</v>
      </c>
      <c r="AC74">
        <v>6.9999999999999999E-4</v>
      </c>
      <c r="AD74">
        <v>9.5000000000000001E-2</v>
      </c>
      <c r="AE74">
        <v>0.73409999999999997</v>
      </c>
      <c r="AF74">
        <v>1426.5944999999999</v>
      </c>
      <c r="AG74">
        <f t="shared" si="4"/>
        <v>0.73409999999999997</v>
      </c>
      <c r="AH74" t="str">
        <f t="shared" si="5"/>
        <v>Mar 2021</v>
      </c>
      <c r="AI74">
        <f t="shared" si="6"/>
        <v>1426.5944999999999</v>
      </c>
      <c r="AJ74" t="str">
        <f t="shared" si="7"/>
        <v>Mar 2021</v>
      </c>
    </row>
    <row r="75" spans="1:36" x14ac:dyDescent="0.2">
      <c r="A75">
        <v>88342</v>
      </c>
      <c r="B75" t="s">
        <v>91</v>
      </c>
      <c r="C75">
        <v>42088.0841</v>
      </c>
      <c r="D75">
        <v>264.11110000000002</v>
      </c>
      <c r="E75">
        <v>15409.175999999999</v>
      </c>
      <c r="F75">
        <v>-207.78790000000001</v>
      </c>
      <c r="G75" s="1">
        <v>2.0100000000000002E-130</v>
      </c>
      <c r="H75">
        <v>0.12970000000000001</v>
      </c>
      <c r="I75">
        <v>5.8999999999999999E-3</v>
      </c>
      <c r="J75">
        <v>0.3221</v>
      </c>
      <c r="K75">
        <v>0.58860000000000001</v>
      </c>
      <c r="L75">
        <v>1659.1523</v>
      </c>
      <c r="M75">
        <v>45237.551700000004</v>
      </c>
      <c r="N75">
        <v>-43.938400000000001</v>
      </c>
      <c r="O75">
        <v>16471.527699999999</v>
      </c>
      <c r="P75">
        <v>270.90789999999998</v>
      </c>
      <c r="Q75" s="1">
        <v>1.9E-45</v>
      </c>
      <c r="R75">
        <v>0.8962</v>
      </c>
      <c r="S75">
        <v>1.9400000000000001E-2</v>
      </c>
      <c r="T75">
        <v>0.44929999999999998</v>
      </c>
      <c r="U75">
        <v>0.58309999999999995</v>
      </c>
      <c r="V75">
        <v>1660.175</v>
      </c>
      <c r="W75">
        <v>41595.165999999997</v>
      </c>
      <c r="X75">
        <v>305.72640000000001</v>
      </c>
      <c r="Y75">
        <v>16030.413200000001</v>
      </c>
      <c r="Z75">
        <v>-327.0573</v>
      </c>
      <c r="AA75" s="1">
        <v>1.93E-182</v>
      </c>
      <c r="AB75">
        <v>2.6100000000000002E-2</v>
      </c>
      <c r="AC75">
        <v>1.2999999999999999E-3</v>
      </c>
      <c r="AD75">
        <v>7.5200000000000003E-2</v>
      </c>
      <c r="AE75">
        <v>0.60099999999999998</v>
      </c>
      <c r="AF75">
        <v>1656.7572</v>
      </c>
      <c r="AG75">
        <f t="shared" si="4"/>
        <v>0.60099999999999998</v>
      </c>
      <c r="AH75" t="str">
        <f t="shared" si="5"/>
        <v>Mar 2021</v>
      </c>
      <c r="AI75">
        <f t="shared" si="6"/>
        <v>1656.7572</v>
      </c>
      <c r="AJ75" t="str">
        <f t="shared" si="7"/>
        <v>Mar 2021</v>
      </c>
    </row>
    <row r="76" spans="1:36" x14ac:dyDescent="0.2">
      <c r="A76">
        <v>88356</v>
      </c>
      <c r="B76" t="s">
        <v>92</v>
      </c>
      <c r="C76">
        <v>1048.0751</v>
      </c>
      <c r="D76">
        <v>-24.750299999999999</v>
      </c>
      <c r="E76">
        <v>72.980599999999995</v>
      </c>
      <c r="F76">
        <v>23.2117</v>
      </c>
      <c r="G76" s="1">
        <v>5.6299999999999998E-46</v>
      </c>
      <c r="H76" s="1">
        <v>3.4599999999999998E-17</v>
      </c>
      <c r="I76">
        <v>0.1004</v>
      </c>
      <c r="J76" s="1">
        <v>1.7E-14</v>
      </c>
      <c r="K76">
        <v>0.87250000000000005</v>
      </c>
      <c r="L76">
        <v>957.95759999999996</v>
      </c>
      <c r="M76">
        <v>1072.7931000000001</v>
      </c>
      <c r="N76">
        <v>-27.150200000000002</v>
      </c>
      <c r="O76">
        <v>-28.6449</v>
      </c>
      <c r="P76">
        <v>25.067699999999999</v>
      </c>
      <c r="Q76" s="1">
        <v>1.6199999999999999E-42</v>
      </c>
      <c r="R76" s="1">
        <v>5.5799999999999997E-11</v>
      </c>
      <c r="S76">
        <v>0.62270000000000003</v>
      </c>
      <c r="T76" s="1">
        <v>1.92E-9</v>
      </c>
      <c r="U76">
        <v>0.875</v>
      </c>
      <c r="V76">
        <v>956.40620000000001</v>
      </c>
      <c r="W76">
        <v>1036.4575</v>
      </c>
      <c r="X76">
        <v>-23.773</v>
      </c>
      <c r="Y76">
        <v>91.810900000000004</v>
      </c>
      <c r="Z76">
        <v>22.346399999999999</v>
      </c>
      <c r="AA76" s="1">
        <v>2.6999999999999998E-45</v>
      </c>
      <c r="AB76" s="1">
        <v>1.6900000000000001E-17</v>
      </c>
      <c r="AC76">
        <v>2.92E-2</v>
      </c>
      <c r="AD76" s="1">
        <v>4.2799999999999998E-14</v>
      </c>
      <c r="AE76">
        <v>0.86839999999999995</v>
      </c>
      <c r="AF76">
        <v>960.44119999999998</v>
      </c>
      <c r="AG76">
        <f t="shared" si="4"/>
        <v>0.875</v>
      </c>
      <c r="AH76" t="str">
        <f t="shared" si="5"/>
        <v>Jun 2020</v>
      </c>
      <c r="AI76">
        <f t="shared" si="6"/>
        <v>956.40620000000001</v>
      </c>
      <c r="AJ76" t="str">
        <f t="shared" si="7"/>
        <v>Jun 2020</v>
      </c>
    </row>
    <row r="77" spans="1:36" x14ac:dyDescent="0.2">
      <c r="A77">
        <v>92552</v>
      </c>
      <c r="B77" t="s">
        <v>93</v>
      </c>
      <c r="C77">
        <v>63776.370900000002</v>
      </c>
      <c r="D77">
        <v>641.07249999999999</v>
      </c>
      <c r="E77">
        <v>10333.407800000001</v>
      </c>
      <c r="F77">
        <v>-846.8501</v>
      </c>
      <c r="G77" s="1">
        <v>6.4100000000000002E-25</v>
      </c>
      <c r="H77">
        <v>0.1086</v>
      </c>
      <c r="I77">
        <v>0.40620000000000001</v>
      </c>
      <c r="J77">
        <v>9.2100000000000001E-2</v>
      </c>
      <c r="K77">
        <v>0.17510000000000001</v>
      </c>
      <c r="L77">
        <v>1793.8752999999999</v>
      </c>
      <c r="M77">
        <v>69677.806899999996</v>
      </c>
      <c r="N77">
        <v>39.5212</v>
      </c>
      <c r="O77">
        <v>26123.9444</v>
      </c>
      <c r="P77">
        <v>-216.0239</v>
      </c>
      <c r="Q77" s="1">
        <v>1.7599999999999999E-18</v>
      </c>
      <c r="R77">
        <v>0.95250000000000001</v>
      </c>
      <c r="S77">
        <v>6.2E-2</v>
      </c>
      <c r="T77">
        <v>0.75890000000000002</v>
      </c>
      <c r="U77">
        <v>0.21679999999999999</v>
      </c>
      <c r="V77">
        <v>1789.8332</v>
      </c>
      <c r="W77">
        <v>65101.008099999999</v>
      </c>
      <c r="X77">
        <v>528.76909999999998</v>
      </c>
      <c r="Y77">
        <v>16422.672900000001</v>
      </c>
      <c r="Z77">
        <v>-919.12710000000004</v>
      </c>
      <c r="AA77" s="1">
        <v>1.76E-27</v>
      </c>
      <c r="AB77">
        <v>0.122</v>
      </c>
      <c r="AC77">
        <v>0.16389999999999999</v>
      </c>
      <c r="AD77">
        <v>4.2799999999999998E-2</v>
      </c>
      <c r="AE77">
        <v>0.19839999999999999</v>
      </c>
      <c r="AF77">
        <v>1791.6448</v>
      </c>
      <c r="AG77">
        <f t="shared" si="4"/>
        <v>0.21679999999999999</v>
      </c>
      <c r="AH77" t="str">
        <f t="shared" si="5"/>
        <v>Jun 2020</v>
      </c>
      <c r="AI77">
        <f t="shared" si="6"/>
        <v>1789.8332</v>
      </c>
      <c r="AJ77" t="str">
        <f t="shared" si="7"/>
        <v>Jun 2020</v>
      </c>
    </row>
    <row r="78" spans="1:36" x14ac:dyDescent="0.2">
      <c r="A78">
        <v>92553</v>
      </c>
      <c r="B78" t="s">
        <v>94</v>
      </c>
      <c r="C78">
        <v>1871.7431999999999</v>
      </c>
      <c r="D78">
        <v>5.5575000000000001</v>
      </c>
      <c r="E78">
        <v>392.24029999999999</v>
      </c>
      <c r="F78">
        <v>10.092700000000001</v>
      </c>
      <c r="G78" s="1">
        <v>3.6099999999999996E-52</v>
      </c>
      <c r="H78">
        <v>0.58779999999999999</v>
      </c>
      <c r="I78">
        <v>0.2273</v>
      </c>
      <c r="J78">
        <v>0.43309999999999998</v>
      </c>
      <c r="K78">
        <v>0.38269999999999998</v>
      </c>
      <c r="L78">
        <v>1224.325</v>
      </c>
      <c r="M78">
        <v>2068.5655000000002</v>
      </c>
      <c r="N78">
        <v>-13.725099999999999</v>
      </c>
      <c r="O78">
        <v>632.39610000000005</v>
      </c>
      <c r="P78">
        <v>30.329799999999999</v>
      </c>
      <c r="Q78" s="1">
        <v>1.5300000000000001E-29</v>
      </c>
      <c r="R78">
        <v>0.43630000000000002</v>
      </c>
      <c r="S78">
        <v>8.2000000000000003E-2</v>
      </c>
      <c r="T78">
        <v>0.10639999999999999</v>
      </c>
      <c r="U78">
        <v>0.4229</v>
      </c>
      <c r="V78">
        <v>1219.0831000000001</v>
      </c>
      <c r="W78">
        <v>1885.9798000000001</v>
      </c>
      <c r="X78">
        <v>4.3596000000000004</v>
      </c>
      <c r="Y78">
        <v>560.32429999999999</v>
      </c>
      <c r="Z78">
        <v>6.9047000000000001</v>
      </c>
      <c r="AA78" s="1">
        <v>5.5199999999999996E-65</v>
      </c>
      <c r="AB78">
        <v>0.59509999999999996</v>
      </c>
      <c r="AC78">
        <v>5.4199999999999998E-2</v>
      </c>
      <c r="AD78">
        <v>0.54290000000000005</v>
      </c>
      <c r="AE78">
        <v>0.40129999999999999</v>
      </c>
      <c r="AF78">
        <v>1221.9416000000001</v>
      </c>
      <c r="AG78">
        <f t="shared" si="4"/>
        <v>0.4229</v>
      </c>
      <c r="AH78" t="str">
        <f t="shared" si="5"/>
        <v>Jun 2020</v>
      </c>
      <c r="AI78">
        <f t="shared" si="6"/>
        <v>1219.0831000000001</v>
      </c>
      <c r="AJ78" t="str">
        <f t="shared" si="7"/>
        <v>Jun 2020</v>
      </c>
    </row>
    <row r="79" spans="1:36" x14ac:dyDescent="0.2">
      <c r="A79">
        <v>92557</v>
      </c>
      <c r="B79" t="s">
        <v>95</v>
      </c>
      <c r="C79">
        <v>8704.3678999999993</v>
      </c>
      <c r="D79">
        <v>3122.4901</v>
      </c>
      <c r="E79">
        <v>-49279.449000000001</v>
      </c>
      <c r="F79">
        <v>-4129.1755999999996</v>
      </c>
      <c r="G79">
        <v>0.14899999999999999</v>
      </c>
      <c r="H79" s="1">
        <v>3.8399999999999999E-22</v>
      </c>
      <c r="I79">
        <v>1.2999999999999999E-3</v>
      </c>
      <c r="J79" s="1">
        <v>3.0400000000000001E-15</v>
      </c>
      <c r="K79">
        <v>0.6079</v>
      </c>
      <c r="L79">
        <v>1785.1541999999999</v>
      </c>
      <c r="M79">
        <v>3967.7310000000002</v>
      </c>
      <c r="N79">
        <v>3569.6030000000001</v>
      </c>
      <c r="O79">
        <v>-12327.868899999999</v>
      </c>
      <c r="P79">
        <v>-5034.7258000000002</v>
      </c>
      <c r="Q79">
        <v>0.62829999999999997</v>
      </c>
      <c r="R79" s="1">
        <v>4.1899999999999998E-8</v>
      </c>
      <c r="S79">
        <v>0.42809999999999998</v>
      </c>
      <c r="T79" s="1">
        <v>4.5199999999999999E-13</v>
      </c>
      <c r="U79">
        <v>0.57899999999999996</v>
      </c>
      <c r="V79">
        <v>1790.7132999999999</v>
      </c>
      <c r="W79">
        <v>11117.898800000001</v>
      </c>
      <c r="X79">
        <v>2918.6001000000001</v>
      </c>
      <c r="Y79">
        <v>-58683.955099999999</v>
      </c>
      <c r="Z79">
        <v>-3691.4609</v>
      </c>
      <c r="AA79">
        <v>5.3900000000000003E-2</v>
      </c>
      <c r="AB79" s="1">
        <v>4.5699999999999999E-24</v>
      </c>
      <c r="AC79">
        <v>2.0000000000000001E-4</v>
      </c>
      <c r="AD79" s="1">
        <v>3.5800000000000001E-12</v>
      </c>
      <c r="AE79">
        <v>0.62090000000000001</v>
      </c>
      <c r="AF79">
        <v>1782.5211999999999</v>
      </c>
      <c r="AG79">
        <f t="shared" si="4"/>
        <v>0.62090000000000001</v>
      </c>
      <c r="AH79" t="str">
        <f t="shared" si="5"/>
        <v>Mar 2021</v>
      </c>
      <c r="AI79">
        <f t="shared" si="6"/>
        <v>1782.5211999999999</v>
      </c>
      <c r="AJ79" t="str">
        <f t="shared" si="7"/>
        <v>Mar 2021</v>
      </c>
    </row>
    <row r="80" spans="1:36" x14ac:dyDescent="0.2">
      <c r="A80">
        <v>92588</v>
      </c>
      <c r="B80" t="s">
        <v>96</v>
      </c>
      <c r="C80">
        <v>9056.6636999999992</v>
      </c>
      <c r="D80">
        <v>-87.320499999999996</v>
      </c>
      <c r="E80">
        <v>1523.9450999999999</v>
      </c>
      <c r="F80">
        <v>146.1815</v>
      </c>
      <c r="G80" s="1">
        <v>1.0200000000000001E-70</v>
      </c>
      <c r="H80">
        <v>8.6E-3</v>
      </c>
      <c r="I80">
        <v>8.2000000000000003E-2</v>
      </c>
      <c r="J80" s="1">
        <v>6.8300000000000007E-5</v>
      </c>
      <c r="K80">
        <v>0.33979999999999999</v>
      </c>
      <c r="L80">
        <v>1371.9438</v>
      </c>
      <c r="M80">
        <v>9689.9447999999993</v>
      </c>
      <c r="N80">
        <v>-148.67590000000001</v>
      </c>
      <c r="O80">
        <v>1500.7191</v>
      </c>
      <c r="P80">
        <v>210.0626</v>
      </c>
      <c r="Q80" s="1">
        <v>1.4400000000000001E-41</v>
      </c>
      <c r="R80">
        <v>5.8999999999999999E-3</v>
      </c>
      <c r="S80">
        <v>0.12239999999999999</v>
      </c>
      <c r="T80">
        <v>2.0000000000000001E-4</v>
      </c>
      <c r="U80">
        <v>0.40849999999999997</v>
      </c>
      <c r="V80">
        <v>1363.3775000000001</v>
      </c>
      <c r="W80">
        <v>9019.7854000000007</v>
      </c>
      <c r="X80">
        <v>-84.177599999999998</v>
      </c>
      <c r="Y80">
        <v>2019.2008000000001</v>
      </c>
      <c r="Z80">
        <v>132.5342</v>
      </c>
      <c r="AA80" s="1">
        <v>2.0900000000000001E-83</v>
      </c>
      <c r="AB80">
        <v>1.8E-3</v>
      </c>
      <c r="AC80">
        <v>8.8000000000000005E-3</v>
      </c>
      <c r="AD80" s="1">
        <v>2.48E-5</v>
      </c>
      <c r="AE80">
        <v>0.35709999999999997</v>
      </c>
      <c r="AF80">
        <v>1369.8787</v>
      </c>
      <c r="AG80">
        <f t="shared" si="4"/>
        <v>0.40849999999999997</v>
      </c>
      <c r="AH80" t="str">
        <f t="shared" si="5"/>
        <v>Jun 2020</v>
      </c>
      <c r="AI80">
        <f t="shared" si="6"/>
        <v>1363.3775000000001</v>
      </c>
      <c r="AJ80" t="str">
        <f t="shared" si="7"/>
        <v>Jun 2020</v>
      </c>
    </row>
    <row r="81" spans="1:36" x14ac:dyDescent="0.2">
      <c r="A81">
        <v>92625</v>
      </c>
      <c r="B81" t="s">
        <v>97</v>
      </c>
      <c r="C81">
        <v>59.831800000000001</v>
      </c>
      <c r="D81">
        <v>-0.49359999999999998</v>
      </c>
      <c r="E81">
        <v>2.5242</v>
      </c>
      <c r="F81">
        <v>4.4775999999999998</v>
      </c>
      <c r="G81" s="1">
        <v>3.0100000000000001E-22</v>
      </c>
      <c r="H81">
        <v>0.193</v>
      </c>
      <c r="I81">
        <v>0.9244</v>
      </c>
      <c r="J81">
        <v>2.9700000000000001E-2</v>
      </c>
      <c r="K81">
        <v>0.27989999999999998</v>
      </c>
      <c r="L81">
        <v>932.70410000000004</v>
      </c>
      <c r="M81">
        <v>66.310299999999998</v>
      </c>
      <c r="N81">
        <v>-1.1059000000000001</v>
      </c>
      <c r="O81">
        <v>-8.0718999999999994</v>
      </c>
      <c r="P81">
        <v>4.7987000000000002</v>
      </c>
      <c r="Q81" s="1">
        <v>7.3800000000000006E-21</v>
      </c>
      <c r="R81">
        <v>3.8100000000000002E-2</v>
      </c>
      <c r="S81">
        <v>0.74119999999999997</v>
      </c>
      <c r="T81">
        <v>4.1999999999999997E-3</v>
      </c>
      <c r="U81">
        <v>0.28079999999999999</v>
      </c>
      <c r="V81">
        <v>932.60469999999998</v>
      </c>
      <c r="W81">
        <v>58.400799999999997</v>
      </c>
      <c r="X81">
        <v>-0.37019999999999997</v>
      </c>
      <c r="Y81">
        <v>6.7954999999999997</v>
      </c>
      <c r="Z81">
        <v>4.4128999999999996</v>
      </c>
      <c r="AA81" s="1">
        <v>8.8300000000000005E-23</v>
      </c>
      <c r="AB81">
        <v>0.27450000000000002</v>
      </c>
      <c r="AC81">
        <v>0.80740000000000001</v>
      </c>
      <c r="AD81">
        <v>4.5499999999999999E-2</v>
      </c>
      <c r="AE81">
        <v>0.27979999999999999</v>
      </c>
      <c r="AF81">
        <v>932.72180000000003</v>
      </c>
      <c r="AG81">
        <f t="shared" si="4"/>
        <v>0.28079999999999999</v>
      </c>
      <c r="AH81" t="str">
        <f t="shared" si="5"/>
        <v>Jun 2020</v>
      </c>
      <c r="AI81">
        <f t="shared" si="6"/>
        <v>932.60469999999998</v>
      </c>
      <c r="AJ81" t="str">
        <f t="shared" si="7"/>
        <v>Jun 2020</v>
      </c>
    </row>
    <row r="82" spans="1:36" x14ac:dyDescent="0.2">
      <c r="A82">
        <v>93000</v>
      </c>
      <c r="B82" t="s">
        <v>98</v>
      </c>
      <c r="C82">
        <v>187788.45050000001</v>
      </c>
      <c r="D82">
        <v>-488.32100000000003</v>
      </c>
      <c r="E82">
        <v>57014.184500000003</v>
      </c>
      <c r="F82">
        <v>1288.5349000000001</v>
      </c>
      <c r="G82" s="1">
        <v>1.6E-166</v>
      </c>
      <c r="H82">
        <v>0.43690000000000001</v>
      </c>
      <c r="I82">
        <v>3.5000000000000001E-3</v>
      </c>
      <c r="J82">
        <v>8.5999999999999993E-2</v>
      </c>
      <c r="K82">
        <v>0.50870000000000004</v>
      </c>
      <c r="L82">
        <v>1862.3127999999999</v>
      </c>
      <c r="M82">
        <v>195591.71720000001</v>
      </c>
      <c r="N82">
        <v>-1259.3099</v>
      </c>
      <c r="O82">
        <v>40753.2673</v>
      </c>
      <c r="P82">
        <v>2667.6387</v>
      </c>
      <c r="Q82" s="1">
        <v>7.8299999999999997E-56</v>
      </c>
      <c r="R82">
        <v>0.3362</v>
      </c>
      <c r="S82">
        <v>0.12959999999999999</v>
      </c>
      <c r="T82">
        <v>5.28E-2</v>
      </c>
      <c r="U82">
        <v>0.48659999999999998</v>
      </c>
      <c r="V82">
        <v>1865.7408</v>
      </c>
      <c r="W82">
        <v>185982</v>
      </c>
      <c r="X82">
        <v>-334.90899999999999</v>
      </c>
      <c r="Y82">
        <v>64024.135399999999</v>
      </c>
      <c r="Z82">
        <v>826.07830000000001</v>
      </c>
      <c r="AA82" s="1">
        <v>3.7099999999999998E-219</v>
      </c>
      <c r="AB82">
        <v>0.4995</v>
      </c>
      <c r="AC82">
        <v>2.0000000000000001E-4</v>
      </c>
      <c r="AD82">
        <v>0.1948</v>
      </c>
      <c r="AE82">
        <v>0.52680000000000005</v>
      </c>
      <c r="AF82">
        <v>1859.3809000000001</v>
      </c>
      <c r="AG82">
        <f t="shared" si="4"/>
        <v>0.52680000000000005</v>
      </c>
      <c r="AH82" t="str">
        <f t="shared" si="5"/>
        <v>Mar 2021</v>
      </c>
      <c r="AI82">
        <f t="shared" si="6"/>
        <v>1859.3809000000001</v>
      </c>
      <c r="AJ82" t="str">
        <f t="shared" si="7"/>
        <v>Mar 2021</v>
      </c>
    </row>
    <row r="83" spans="1:36" x14ac:dyDescent="0.2">
      <c r="A83">
        <v>93040</v>
      </c>
      <c r="B83" t="s">
        <v>99</v>
      </c>
      <c r="C83">
        <v>3443.7793000000001</v>
      </c>
      <c r="D83">
        <v>-17.335000000000001</v>
      </c>
      <c r="E83">
        <v>346.04349999999999</v>
      </c>
      <c r="F83">
        <v>21.247399999999999</v>
      </c>
      <c r="G83" s="1">
        <v>4.4600000000000003E-134</v>
      </c>
      <c r="H83">
        <v>0.1106</v>
      </c>
      <c r="I83">
        <v>0.25130000000000002</v>
      </c>
      <c r="J83">
        <v>8.48E-2</v>
      </c>
      <c r="K83">
        <v>7.2400000000000006E-2</v>
      </c>
      <c r="L83">
        <v>1210.8988999999999</v>
      </c>
      <c r="M83">
        <v>3685.5862000000002</v>
      </c>
      <c r="N83">
        <v>-41.027099999999997</v>
      </c>
      <c r="O83">
        <v>664.04229999999995</v>
      </c>
      <c r="P83">
        <v>43.647799999999997</v>
      </c>
      <c r="Q83" s="1">
        <v>1.4799999999999999E-93</v>
      </c>
      <c r="R83">
        <v>8.0999999999999996E-3</v>
      </c>
      <c r="S83">
        <v>3.15E-2</v>
      </c>
      <c r="T83">
        <v>7.4999999999999997E-3</v>
      </c>
      <c r="U83">
        <v>0.1804</v>
      </c>
      <c r="V83">
        <v>1201.2398000000001</v>
      </c>
      <c r="W83">
        <v>3425.7935000000002</v>
      </c>
      <c r="X83">
        <v>-15.7925</v>
      </c>
      <c r="Y83">
        <v>386.3073</v>
      </c>
      <c r="Z83">
        <v>18.34</v>
      </c>
      <c r="AA83" s="1">
        <v>2.1300000000000002E-167</v>
      </c>
      <c r="AB83">
        <v>6.9699999999999998E-2</v>
      </c>
      <c r="AC83">
        <v>0.16619999999999999</v>
      </c>
      <c r="AD83">
        <v>9.2100000000000001E-2</v>
      </c>
      <c r="AE83">
        <v>7.3200000000000001E-2</v>
      </c>
      <c r="AF83">
        <v>1210.8286000000001</v>
      </c>
      <c r="AG83">
        <f t="shared" si="4"/>
        <v>0.1804</v>
      </c>
      <c r="AH83" t="str">
        <f t="shared" si="5"/>
        <v>Jun 2020</v>
      </c>
      <c r="AI83">
        <f t="shared" si="6"/>
        <v>1201.2398000000001</v>
      </c>
      <c r="AJ83" t="str">
        <f t="shared" si="7"/>
        <v>Jun 2020</v>
      </c>
    </row>
    <row r="84" spans="1:36" x14ac:dyDescent="0.2">
      <c r="A84">
        <v>93041</v>
      </c>
      <c r="B84" t="s">
        <v>99</v>
      </c>
      <c r="C84">
        <v>13680.060100000001</v>
      </c>
      <c r="D84">
        <v>-6.9573999999999998</v>
      </c>
      <c r="E84">
        <v>2332.2746999999999</v>
      </c>
      <c r="F84">
        <v>-154.83179999999999</v>
      </c>
      <c r="G84" s="1">
        <v>1.18E-188</v>
      </c>
      <c r="H84">
        <v>0.79330000000000001</v>
      </c>
      <c r="I84">
        <v>1.6000000000000001E-3</v>
      </c>
      <c r="J84" s="1">
        <v>9.4399999999999998E-7</v>
      </c>
      <c r="K84">
        <v>0.66190000000000004</v>
      </c>
      <c r="L84">
        <v>1334.6143</v>
      </c>
      <c r="M84">
        <v>14233.282800000001</v>
      </c>
      <c r="N84">
        <v>-62.631</v>
      </c>
      <c r="O84">
        <v>3460.5749999999998</v>
      </c>
      <c r="P84">
        <v>-71.338099999999997</v>
      </c>
      <c r="Q84" s="1">
        <v>1.8800000000000001E-213</v>
      </c>
      <c r="R84">
        <v>6.4299999999999996E-2</v>
      </c>
      <c r="S84" s="1">
        <v>2.3499999999999999E-6</v>
      </c>
      <c r="T84">
        <v>5.3900000000000003E-2</v>
      </c>
      <c r="U84">
        <v>0.66759999999999997</v>
      </c>
      <c r="V84">
        <v>1333.2922000000001</v>
      </c>
      <c r="W84">
        <v>13675.947399999999</v>
      </c>
      <c r="X84">
        <v>-6.5305999999999997</v>
      </c>
      <c r="Y84">
        <v>2437.8072999999999</v>
      </c>
      <c r="Z84">
        <v>-171.1352</v>
      </c>
      <c r="AA84" s="1">
        <v>1.7799999999999999E-213</v>
      </c>
      <c r="AB84">
        <v>0.76910000000000001</v>
      </c>
      <c r="AC84" s="1">
        <v>7.9099999999999998E-5</v>
      </c>
      <c r="AD84" s="1">
        <v>8.0700000000000003E-11</v>
      </c>
      <c r="AE84">
        <v>0.69550000000000001</v>
      </c>
      <c r="AF84">
        <v>1326.4539</v>
      </c>
      <c r="AG84">
        <f t="shared" si="4"/>
        <v>0.69550000000000001</v>
      </c>
      <c r="AH84" t="str">
        <f t="shared" si="5"/>
        <v>Mar 2021</v>
      </c>
      <c r="AI84">
        <f t="shared" si="6"/>
        <v>1326.4539</v>
      </c>
      <c r="AJ84" t="str">
        <f t="shared" si="7"/>
        <v>Mar 2021</v>
      </c>
    </row>
    <row r="85" spans="1:36" x14ac:dyDescent="0.2">
      <c r="A85">
        <v>93042</v>
      </c>
      <c r="B85" t="s">
        <v>99</v>
      </c>
      <c r="C85">
        <v>8727.2101999999995</v>
      </c>
      <c r="D85">
        <v>26.203900000000001</v>
      </c>
      <c r="E85">
        <v>2395.8195999999998</v>
      </c>
      <c r="F85">
        <v>-88.688800000000001</v>
      </c>
      <c r="G85" s="1">
        <v>9.5300000000000004E-256</v>
      </c>
      <c r="H85">
        <v>0.16089999999999999</v>
      </c>
      <c r="I85">
        <v>5.0000000000000001E-4</v>
      </c>
      <c r="J85">
        <v>4.0000000000000002E-4</v>
      </c>
      <c r="K85">
        <v>0.41880000000000001</v>
      </c>
      <c r="L85">
        <v>1334.6379999999999</v>
      </c>
      <c r="M85">
        <v>8937.6414000000004</v>
      </c>
      <c r="N85">
        <v>5.7767999999999997</v>
      </c>
      <c r="O85">
        <v>2150.2523000000001</v>
      </c>
      <c r="P85">
        <v>-32.567599999999999</v>
      </c>
      <c r="Q85" s="1">
        <v>2.1199999999999999E-105</v>
      </c>
      <c r="R85">
        <v>0.88759999999999994</v>
      </c>
      <c r="S85">
        <v>2.1299999999999999E-2</v>
      </c>
      <c r="T85">
        <v>0.46160000000000001</v>
      </c>
      <c r="U85">
        <v>0.30380000000000001</v>
      </c>
      <c r="V85">
        <v>1348.7197000000001</v>
      </c>
      <c r="W85">
        <v>8670.4737000000005</v>
      </c>
      <c r="X85">
        <v>31.115200000000002</v>
      </c>
      <c r="Y85">
        <v>2431.6900999999998</v>
      </c>
      <c r="Z85">
        <v>-106.1617</v>
      </c>
      <c r="AA85" s="1">
        <v>6.6999999999999996E-277</v>
      </c>
      <c r="AB85">
        <v>5.1299999999999998E-2</v>
      </c>
      <c r="AC85" s="1">
        <v>5.0099999999999998E-5</v>
      </c>
      <c r="AD85" s="1">
        <v>1.2300000000000001E-6</v>
      </c>
      <c r="AE85">
        <v>0.4511</v>
      </c>
      <c r="AF85">
        <v>1330.1818000000001</v>
      </c>
      <c r="AG85">
        <f t="shared" si="4"/>
        <v>0.4511</v>
      </c>
      <c r="AH85" t="str">
        <f t="shared" si="5"/>
        <v>Mar 2021</v>
      </c>
      <c r="AI85">
        <f t="shared" si="6"/>
        <v>1330.1818000000001</v>
      </c>
      <c r="AJ85" t="str">
        <f t="shared" si="7"/>
        <v>Mar 2021</v>
      </c>
    </row>
    <row r="86" spans="1:36" x14ac:dyDescent="0.2">
      <c r="A86">
        <v>93224</v>
      </c>
      <c r="B86" t="s">
        <v>100</v>
      </c>
      <c r="C86">
        <v>3384.2372</v>
      </c>
      <c r="D86">
        <v>-13.4834</v>
      </c>
      <c r="E86">
        <v>738.95230000000004</v>
      </c>
      <c r="F86">
        <v>34.120899999999999</v>
      </c>
      <c r="G86" s="1">
        <v>1.0699999999999999E-89</v>
      </c>
      <c r="H86">
        <v>0.20960000000000001</v>
      </c>
      <c r="I86">
        <v>2.4E-2</v>
      </c>
      <c r="J86">
        <v>7.0000000000000001E-3</v>
      </c>
      <c r="K86">
        <v>0.42699999999999999</v>
      </c>
      <c r="L86">
        <v>1235.8765000000001</v>
      </c>
      <c r="M86">
        <v>3520.5171999999998</v>
      </c>
      <c r="N86">
        <v>-26.497499999999999</v>
      </c>
      <c r="O86">
        <v>493.26069999999999</v>
      </c>
      <c r="P86">
        <v>53.982799999999997</v>
      </c>
      <c r="Q86" s="1">
        <v>6.41E-52</v>
      </c>
      <c r="R86">
        <v>0.18229999999999999</v>
      </c>
      <c r="S86">
        <v>0.22459999999999999</v>
      </c>
      <c r="T86">
        <v>9.4000000000000004E-3</v>
      </c>
      <c r="U86">
        <v>0.42820000000000003</v>
      </c>
      <c r="V86">
        <v>1235.7164</v>
      </c>
      <c r="W86">
        <v>3369.3683999999998</v>
      </c>
      <c r="X86">
        <v>-12.2333</v>
      </c>
      <c r="Y86">
        <v>909.94010000000003</v>
      </c>
      <c r="Z86">
        <v>27.872199999999999</v>
      </c>
      <c r="AA86" s="1">
        <v>6.64E-102</v>
      </c>
      <c r="AB86">
        <v>0.16</v>
      </c>
      <c r="AC86">
        <v>1.6999999999999999E-3</v>
      </c>
      <c r="AD86">
        <v>1.2699999999999999E-2</v>
      </c>
      <c r="AE86">
        <v>0.44629999999999997</v>
      </c>
      <c r="AF86">
        <v>1233.2153000000001</v>
      </c>
      <c r="AG86">
        <f t="shared" si="4"/>
        <v>0.44629999999999997</v>
      </c>
      <c r="AH86" t="str">
        <f t="shared" si="5"/>
        <v>Mar 2021</v>
      </c>
      <c r="AI86">
        <f t="shared" si="6"/>
        <v>1233.2153000000001</v>
      </c>
      <c r="AJ86" t="str">
        <f t="shared" si="7"/>
        <v>Mar 2021</v>
      </c>
    </row>
    <row r="87" spans="1:36" x14ac:dyDescent="0.2">
      <c r="A87">
        <v>93225</v>
      </c>
      <c r="B87" t="s">
        <v>100</v>
      </c>
      <c r="C87">
        <v>2504.6351</v>
      </c>
      <c r="D87">
        <v>7.5160999999999998</v>
      </c>
      <c r="E87">
        <v>904.42489999999998</v>
      </c>
      <c r="F87">
        <v>-45.450899999999997</v>
      </c>
      <c r="G87" s="1">
        <v>2.2900000000000001E-90</v>
      </c>
      <c r="H87">
        <v>0.46250000000000002</v>
      </c>
      <c r="I87">
        <v>6.1000000000000004E-3</v>
      </c>
      <c r="J87">
        <v>2.0000000000000001E-4</v>
      </c>
      <c r="K87">
        <v>0.32350000000000001</v>
      </c>
      <c r="L87">
        <v>1214.0369000000001</v>
      </c>
      <c r="M87">
        <v>2712.0275999999999</v>
      </c>
      <c r="N87">
        <v>-12.4108</v>
      </c>
      <c r="O87">
        <v>1176.6315</v>
      </c>
      <c r="P87">
        <v>-13.9162</v>
      </c>
      <c r="Q87" s="1">
        <v>7.5700000000000006E-52</v>
      </c>
      <c r="R87">
        <v>0.48080000000000001</v>
      </c>
      <c r="S87">
        <v>2.8E-3</v>
      </c>
      <c r="T87">
        <v>0.46339999999999998</v>
      </c>
      <c r="U87">
        <v>0.29859999999999998</v>
      </c>
      <c r="V87">
        <v>1216.8478</v>
      </c>
      <c r="W87">
        <v>2451.1781000000001</v>
      </c>
      <c r="X87">
        <v>12.051500000000001</v>
      </c>
      <c r="Y87">
        <v>753.38040000000001</v>
      </c>
      <c r="Z87">
        <v>-52.002299999999998</v>
      </c>
      <c r="AA87" s="1">
        <v>2.0200000000000001E-98</v>
      </c>
      <c r="AB87">
        <v>0.16839999999999999</v>
      </c>
      <c r="AC87">
        <v>1.89E-2</v>
      </c>
      <c r="AD87" s="1">
        <v>1.34E-5</v>
      </c>
      <c r="AE87">
        <v>0.311</v>
      </c>
      <c r="AF87">
        <v>1215.4622999999999</v>
      </c>
      <c r="AG87">
        <f t="shared" si="4"/>
        <v>0.32350000000000001</v>
      </c>
      <c r="AH87" t="str">
        <f t="shared" si="5"/>
        <v>Jan 2021</v>
      </c>
      <c r="AI87">
        <f t="shared" si="6"/>
        <v>1214.0369000000001</v>
      </c>
      <c r="AJ87" t="str">
        <f t="shared" si="7"/>
        <v>Jan 2021</v>
      </c>
    </row>
    <row r="88" spans="1:36" x14ac:dyDescent="0.2">
      <c r="A88">
        <v>93226</v>
      </c>
      <c r="B88" t="s">
        <v>100</v>
      </c>
      <c r="C88">
        <v>4360.8843999999999</v>
      </c>
      <c r="D88">
        <v>19.195499999999999</v>
      </c>
      <c r="E88">
        <v>853.84469999999999</v>
      </c>
      <c r="F88">
        <v>-76.016099999999994</v>
      </c>
      <c r="G88" s="1">
        <v>2.51E-125</v>
      </c>
      <c r="H88">
        <v>0.1542</v>
      </c>
      <c r="I88">
        <v>3.9100000000000003E-2</v>
      </c>
      <c r="J88" s="1">
        <v>9.8200000000000008E-7</v>
      </c>
      <c r="K88">
        <v>0.3775</v>
      </c>
      <c r="L88">
        <v>1254.4173000000001</v>
      </c>
      <c r="M88">
        <v>4611.0207</v>
      </c>
      <c r="N88">
        <v>-5.0088999999999997</v>
      </c>
      <c r="O88">
        <v>1431.0030999999999</v>
      </c>
      <c r="P88">
        <v>-40.591900000000003</v>
      </c>
      <c r="Q88" s="1">
        <v>7.0900000000000004E-73</v>
      </c>
      <c r="R88">
        <v>0.83979999999999999</v>
      </c>
      <c r="S88">
        <v>5.7000000000000002E-3</v>
      </c>
      <c r="T88">
        <v>0.1198</v>
      </c>
      <c r="U88">
        <v>0.37659999999999999</v>
      </c>
      <c r="V88">
        <v>1254.5391999999999</v>
      </c>
      <c r="W88">
        <v>4338.3036000000002</v>
      </c>
      <c r="X88">
        <v>21.134399999999999</v>
      </c>
      <c r="Y88">
        <v>755.00930000000005</v>
      </c>
      <c r="Z88">
        <v>-81.759200000000007</v>
      </c>
      <c r="AA88" s="1">
        <v>2.9399999999999999E-145</v>
      </c>
      <c r="AB88">
        <v>5.3900000000000003E-2</v>
      </c>
      <c r="AC88">
        <v>5.6300000000000003E-2</v>
      </c>
      <c r="AD88" s="1">
        <v>1E-8</v>
      </c>
      <c r="AE88">
        <v>0.38529999999999998</v>
      </c>
      <c r="AF88">
        <v>1253.4366</v>
      </c>
      <c r="AG88">
        <f t="shared" si="4"/>
        <v>0.38529999999999998</v>
      </c>
      <c r="AH88" t="str">
        <f t="shared" si="5"/>
        <v>Mar 2021</v>
      </c>
      <c r="AI88">
        <f t="shared" si="6"/>
        <v>1253.4366</v>
      </c>
      <c r="AJ88" t="str">
        <f t="shared" si="7"/>
        <v>Mar 2021</v>
      </c>
    </row>
    <row r="89" spans="1:36" x14ac:dyDescent="0.2">
      <c r="A89">
        <v>93227</v>
      </c>
      <c r="B89" t="s">
        <v>100</v>
      </c>
      <c r="C89">
        <v>2297.7838000000002</v>
      </c>
      <c r="D89">
        <v>1.3266</v>
      </c>
      <c r="E89">
        <v>934.84529999999995</v>
      </c>
      <c r="F89">
        <v>-26.699400000000001</v>
      </c>
      <c r="G89" s="1">
        <v>1.8400000000000001E-78</v>
      </c>
      <c r="H89">
        <v>0.88300000000000001</v>
      </c>
      <c r="I89">
        <v>6.9999999999999999E-4</v>
      </c>
      <c r="J89">
        <v>8.8000000000000005E-3</v>
      </c>
      <c r="K89">
        <v>0.31830000000000003</v>
      </c>
      <c r="L89">
        <v>1190.8009</v>
      </c>
      <c r="M89">
        <v>2478.9517000000001</v>
      </c>
      <c r="N89">
        <v>-16.0015</v>
      </c>
      <c r="O89">
        <v>1022.1024</v>
      </c>
      <c r="P89">
        <v>2.4295</v>
      </c>
      <c r="Q89" s="1">
        <v>1.3000000000000001E-50</v>
      </c>
      <c r="R89">
        <v>0.27610000000000001</v>
      </c>
      <c r="S89">
        <v>1.4E-3</v>
      </c>
      <c r="T89">
        <v>0.88070000000000004</v>
      </c>
      <c r="U89">
        <v>0.26939999999999997</v>
      </c>
      <c r="V89">
        <v>1196.2079000000001</v>
      </c>
      <c r="W89">
        <v>2250.6073000000001</v>
      </c>
      <c r="X89">
        <v>5.3042999999999996</v>
      </c>
      <c r="Y89">
        <v>865.06439999999998</v>
      </c>
      <c r="Z89">
        <v>-33.7973</v>
      </c>
      <c r="AA89" s="1">
        <v>2.1300000000000001E-85</v>
      </c>
      <c r="AB89">
        <v>0.49209999999999998</v>
      </c>
      <c r="AC89">
        <v>5.0000000000000001E-4</v>
      </c>
      <c r="AD89">
        <v>5.9999999999999995E-4</v>
      </c>
      <c r="AE89">
        <v>0.31730000000000003</v>
      </c>
      <c r="AF89">
        <v>1190.9122</v>
      </c>
      <c r="AG89">
        <f t="shared" si="4"/>
        <v>0.31830000000000003</v>
      </c>
      <c r="AH89" t="str">
        <f t="shared" si="5"/>
        <v>Jan 2021</v>
      </c>
      <c r="AI89">
        <f t="shared" si="6"/>
        <v>1190.8009</v>
      </c>
      <c r="AJ89" t="str">
        <f t="shared" si="7"/>
        <v>Jan 2021</v>
      </c>
    </row>
    <row r="90" spans="1:36" x14ac:dyDescent="0.2">
      <c r="A90">
        <v>93241</v>
      </c>
      <c r="B90" t="s">
        <v>101</v>
      </c>
      <c r="C90">
        <v>0</v>
      </c>
      <c r="D90">
        <v>19.902000000000001</v>
      </c>
      <c r="E90">
        <v>-29.815100000000001</v>
      </c>
      <c r="F90">
        <v>-9.9131</v>
      </c>
      <c r="G90">
        <v>0</v>
      </c>
      <c r="H90">
        <v>2.7000000000000001E-3</v>
      </c>
      <c r="I90">
        <v>1.6400000000000001E-2</v>
      </c>
      <c r="J90">
        <v>8.6999999999999994E-2</v>
      </c>
      <c r="K90">
        <v>0.84630000000000005</v>
      </c>
      <c r="L90">
        <v>445.15339999999998</v>
      </c>
      <c r="M90">
        <v>0</v>
      </c>
      <c r="N90">
        <v>19.902000000000001</v>
      </c>
      <c r="O90">
        <v>-29.815100000000001</v>
      </c>
      <c r="P90">
        <v>-9.9131</v>
      </c>
      <c r="Q90">
        <v>0</v>
      </c>
      <c r="R90">
        <v>2.7000000000000001E-3</v>
      </c>
      <c r="S90">
        <v>1.6400000000000001E-2</v>
      </c>
      <c r="T90">
        <v>8.6999999999999994E-2</v>
      </c>
      <c r="U90">
        <v>0.84630000000000005</v>
      </c>
      <c r="V90">
        <v>445.15339999999998</v>
      </c>
      <c r="W90">
        <v>29</v>
      </c>
      <c r="X90">
        <v>5.1265999999999998</v>
      </c>
      <c r="Y90">
        <v>-75.865399999999994</v>
      </c>
      <c r="Z90">
        <v>5.1265999999999998</v>
      </c>
      <c r="AA90">
        <v>0</v>
      </c>
      <c r="AB90" s="1">
        <v>5.7499999999999998E-26</v>
      </c>
      <c r="AC90" s="1">
        <v>4.2299999999999998E-5</v>
      </c>
      <c r="AD90" s="1">
        <v>5.7499999999999998E-26</v>
      </c>
      <c r="AE90">
        <v>0.85399999999999998</v>
      </c>
      <c r="AF90">
        <v>446.7577</v>
      </c>
      <c r="AG90">
        <f t="shared" si="4"/>
        <v>0.85399999999999998</v>
      </c>
      <c r="AH90" t="str">
        <f t="shared" si="5"/>
        <v>Mar 2021</v>
      </c>
      <c r="AI90">
        <f t="shared" si="6"/>
        <v>445.15339999999998</v>
      </c>
      <c r="AJ90" t="str">
        <f t="shared" si="7"/>
        <v>Jan 2021</v>
      </c>
    </row>
    <row r="91" spans="1:36" x14ac:dyDescent="0.2">
      <c r="A91">
        <v>93242</v>
      </c>
      <c r="B91" t="s">
        <v>101</v>
      </c>
      <c r="C91">
        <v>0</v>
      </c>
      <c r="D91">
        <v>-68.385800000000003</v>
      </c>
      <c r="E91">
        <v>186.3424</v>
      </c>
      <c r="F91">
        <v>117.95659999999999</v>
      </c>
      <c r="G91">
        <v>0</v>
      </c>
      <c r="H91">
        <v>1.8E-3</v>
      </c>
      <c r="I91" s="1">
        <v>6.3300000000000004E-6</v>
      </c>
      <c r="J91" s="1">
        <v>1.2900000000000001E-9</v>
      </c>
      <c r="K91">
        <v>0.86250000000000004</v>
      </c>
      <c r="L91">
        <v>587.01800000000003</v>
      </c>
      <c r="M91">
        <v>0</v>
      </c>
      <c r="N91">
        <v>-68.385800000000003</v>
      </c>
      <c r="O91">
        <v>186.3424</v>
      </c>
      <c r="P91">
        <v>117.95659999999999</v>
      </c>
      <c r="Q91">
        <v>0</v>
      </c>
      <c r="R91">
        <v>1.8E-3</v>
      </c>
      <c r="S91" s="1">
        <v>6.3300000000000004E-6</v>
      </c>
      <c r="T91" s="1">
        <v>1.2900000000000001E-9</v>
      </c>
      <c r="U91">
        <v>0.86250000000000004</v>
      </c>
      <c r="V91">
        <v>587.01800000000003</v>
      </c>
      <c r="W91">
        <v>220</v>
      </c>
      <c r="X91">
        <v>213</v>
      </c>
      <c r="Y91">
        <v>-78.269199999999998</v>
      </c>
      <c r="Z91">
        <v>-163.4649</v>
      </c>
      <c r="AA91">
        <v>0</v>
      </c>
      <c r="AB91">
        <v>0</v>
      </c>
      <c r="AC91">
        <v>0.25569999999999998</v>
      </c>
      <c r="AD91">
        <v>0</v>
      </c>
      <c r="AE91">
        <v>0.86319999999999997</v>
      </c>
      <c r="AF91">
        <v>594.2604</v>
      </c>
      <c r="AG91">
        <f t="shared" si="4"/>
        <v>0.86319999999999997</v>
      </c>
      <c r="AH91" t="str">
        <f t="shared" si="5"/>
        <v>Mar 2021</v>
      </c>
      <c r="AI91">
        <f t="shared" si="6"/>
        <v>587.01800000000003</v>
      </c>
      <c r="AJ91" t="str">
        <f t="shared" si="7"/>
        <v>Jan 2021</v>
      </c>
    </row>
    <row r="92" spans="1:36" x14ac:dyDescent="0.2">
      <c r="A92">
        <v>93243</v>
      </c>
      <c r="B92" t="s">
        <v>101</v>
      </c>
      <c r="C92">
        <v>0</v>
      </c>
      <c r="D92">
        <v>-692.48810000000003</v>
      </c>
      <c r="E92">
        <v>1483.4666</v>
      </c>
      <c r="F92">
        <v>790.97860000000003</v>
      </c>
      <c r="G92">
        <v>0</v>
      </c>
      <c r="H92" s="1">
        <v>5.4400000000000002E-49</v>
      </c>
      <c r="I92" s="1">
        <v>5.04E-63</v>
      </c>
      <c r="J92" s="1">
        <v>9.4700000000000007E-81</v>
      </c>
      <c r="K92">
        <v>0.84970000000000001</v>
      </c>
      <c r="L92">
        <v>649.05340000000001</v>
      </c>
      <c r="M92">
        <v>0</v>
      </c>
      <c r="N92">
        <v>-692.48810000000003</v>
      </c>
      <c r="O92">
        <v>1483.4666</v>
      </c>
      <c r="P92">
        <v>790.97860000000003</v>
      </c>
      <c r="Q92">
        <v>0</v>
      </c>
      <c r="R92" s="1">
        <v>5.4400000000000002E-49</v>
      </c>
      <c r="S92" s="1">
        <v>5.04E-63</v>
      </c>
      <c r="T92" s="1">
        <v>9.4700000000000007E-81</v>
      </c>
      <c r="U92">
        <v>0.84970000000000001</v>
      </c>
      <c r="V92">
        <v>649.05340000000001</v>
      </c>
      <c r="W92">
        <v>1910</v>
      </c>
      <c r="X92">
        <v>309</v>
      </c>
      <c r="Y92">
        <v>209.16919999999999</v>
      </c>
      <c r="Z92">
        <v>-212.57169999999999</v>
      </c>
      <c r="AA92">
        <v>0</v>
      </c>
      <c r="AB92">
        <v>0</v>
      </c>
      <c r="AC92">
        <v>0.16320000000000001</v>
      </c>
      <c r="AD92" s="1">
        <v>1.48E-171</v>
      </c>
      <c r="AE92">
        <v>0.85229999999999995</v>
      </c>
      <c r="AF92">
        <v>655.78499999999997</v>
      </c>
      <c r="AG92">
        <f t="shared" si="4"/>
        <v>0.85229999999999995</v>
      </c>
      <c r="AH92" t="str">
        <f t="shared" si="5"/>
        <v>Mar 2021</v>
      </c>
      <c r="AI92">
        <f t="shared" si="6"/>
        <v>649.05340000000001</v>
      </c>
      <c r="AJ92" t="str">
        <f t="shared" si="7"/>
        <v>Jan 2021</v>
      </c>
    </row>
    <row r="93" spans="1:36" x14ac:dyDescent="0.2">
      <c r="A93">
        <v>93244</v>
      </c>
      <c r="B93" t="s">
        <v>101</v>
      </c>
      <c r="C93">
        <v>0</v>
      </c>
      <c r="D93">
        <v>-65.889099999999999</v>
      </c>
      <c r="E93">
        <v>169.0342</v>
      </c>
      <c r="F93">
        <v>103.1452</v>
      </c>
      <c r="G93">
        <v>0</v>
      </c>
      <c r="H93" s="1">
        <v>1.6399999999999999E-5</v>
      </c>
      <c r="I93" s="1">
        <v>4.1400000000000002E-9</v>
      </c>
      <c r="J93" s="1">
        <v>2.38E-14</v>
      </c>
      <c r="K93">
        <v>0.79620000000000002</v>
      </c>
      <c r="L93">
        <v>582.89610000000005</v>
      </c>
      <c r="M93">
        <v>0</v>
      </c>
      <c r="N93">
        <v>-65.889099999999999</v>
      </c>
      <c r="O93">
        <v>169.0342</v>
      </c>
      <c r="P93">
        <v>103.1452</v>
      </c>
      <c r="Q93">
        <v>0</v>
      </c>
      <c r="R93" s="1">
        <v>1.6399999999999999E-5</v>
      </c>
      <c r="S93" s="1">
        <v>4.1400000000000002E-9</v>
      </c>
      <c r="T93" s="1">
        <v>2.38E-14</v>
      </c>
      <c r="U93">
        <v>0.79620000000000002</v>
      </c>
      <c r="V93">
        <v>582.89610000000005</v>
      </c>
      <c r="W93">
        <v>259</v>
      </c>
      <c r="X93">
        <v>27</v>
      </c>
      <c r="Y93">
        <v>27.288499999999999</v>
      </c>
      <c r="Z93">
        <v>10.1128</v>
      </c>
      <c r="AA93">
        <v>0</v>
      </c>
      <c r="AB93">
        <v>0</v>
      </c>
      <c r="AC93">
        <v>0.58430000000000004</v>
      </c>
      <c r="AD93">
        <v>2.9999999999999997E-4</v>
      </c>
      <c r="AE93">
        <v>0.79630000000000001</v>
      </c>
      <c r="AF93">
        <v>590.35490000000004</v>
      </c>
      <c r="AG93">
        <f t="shared" si="4"/>
        <v>0.79630000000000001</v>
      </c>
      <c r="AH93" t="str">
        <f t="shared" si="5"/>
        <v>Mar 2021</v>
      </c>
      <c r="AI93">
        <f t="shared" si="6"/>
        <v>582.89610000000005</v>
      </c>
      <c r="AJ93" t="str">
        <f t="shared" si="7"/>
        <v>Jan 2021</v>
      </c>
    </row>
    <row r="94" spans="1:36" x14ac:dyDescent="0.2">
      <c r="A94">
        <v>93246</v>
      </c>
      <c r="B94" t="s">
        <v>101</v>
      </c>
      <c r="C94">
        <v>0</v>
      </c>
      <c r="D94">
        <v>-129.9846</v>
      </c>
      <c r="E94">
        <v>300.5532</v>
      </c>
      <c r="F94">
        <v>170.5686</v>
      </c>
      <c r="G94">
        <v>0</v>
      </c>
      <c r="H94" s="1">
        <v>6.9799999999999997E-10</v>
      </c>
      <c r="I94" s="1">
        <v>2.8199999999999999E-14</v>
      </c>
      <c r="J94" s="1">
        <v>2.6400000000000001E-20</v>
      </c>
      <c r="K94">
        <v>0.83130000000000004</v>
      </c>
      <c r="L94">
        <v>580.33429999999998</v>
      </c>
      <c r="M94">
        <v>0</v>
      </c>
      <c r="N94">
        <v>-129.9846</v>
      </c>
      <c r="O94">
        <v>300.5532</v>
      </c>
      <c r="P94">
        <v>170.5686</v>
      </c>
      <c r="Q94">
        <v>0</v>
      </c>
      <c r="R94" s="1">
        <v>6.9799999999999997E-10</v>
      </c>
      <c r="S94" s="1">
        <v>2.8199999999999999E-14</v>
      </c>
      <c r="T94" s="1">
        <v>2.6400000000000001E-20</v>
      </c>
      <c r="U94">
        <v>0.83130000000000004</v>
      </c>
      <c r="V94">
        <v>580.33429999999998</v>
      </c>
      <c r="W94">
        <v>537</v>
      </c>
      <c r="X94">
        <v>-22</v>
      </c>
      <c r="Y94">
        <v>-10.7308</v>
      </c>
      <c r="Z94">
        <v>62.862499999999997</v>
      </c>
      <c r="AA94">
        <v>0</v>
      </c>
      <c r="AB94">
        <v>0</v>
      </c>
      <c r="AC94">
        <v>0.87329999999999997</v>
      </c>
      <c r="AD94" s="1">
        <v>2.2200000000000001E-70</v>
      </c>
      <c r="AE94">
        <v>0.83169999999999999</v>
      </c>
      <c r="AF94">
        <v>587.71</v>
      </c>
      <c r="AG94">
        <f t="shared" si="4"/>
        <v>0.83169999999999999</v>
      </c>
      <c r="AH94" t="str">
        <f t="shared" si="5"/>
        <v>Mar 2021</v>
      </c>
      <c r="AI94">
        <f t="shared" si="6"/>
        <v>580.33429999999998</v>
      </c>
      <c r="AJ94" t="str">
        <f t="shared" si="7"/>
        <v>Jan 2021</v>
      </c>
    </row>
    <row r="95" spans="1:36" x14ac:dyDescent="0.2">
      <c r="A95">
        <v>93247</v>
      </c>
      <c r="B95" t="s">
        <v>101</v>
      </c>
      <c r="C95">
        <v>0</v>
      </c>
      <c r="D95">
        <v>-857.30499999999995</v>
      </c>
      <c r="E95">
        <v>1792.9227000000001</v>
      </c>
      <c r="F95">
        <v>935.61770000000001</v>
      </c>
      <c r="G95">
        <v>0</v>
      </c>
      <c r="H95" s="1">
        <v>1.4500000000000001E-76</v>
      </c>
      <c r="I95" s="1">
        <v>1.11E-94</v>
      </c>
      <c r="J95" s="1">
        <v>2.7899999999999999E-117</v>
      </c>
      <c r="K95">
        <v>0.80210000000000004</v>
      </c>
      <c r="L95">
        <v>643.76800000000003</v>
      </c>
      <c r="M95">
        <v>0</v>
      </c>
      <c r="N95">
        <v>-857.30499999999995</v>
      </c>
      <c r="O95">
        <v>1792.9227000000001</v>
      </c>
      <c r="P95">
        <v>935.61770000000001</v>
      </c>
      <c r="Q95">
        <v>0</v>
      </c>
      <c r="R95" s="1">
        <v>1.4500000000000001E-76</v>
      </c>
      <c r="S95" s="1">
        <v>1.11E-94</v>
      </c>
      <c r="T95" s="1">
        <v>2.7899999999999999E-117</v>
      </c>
      <c r="U95">
        <v>0.80210000000000004</v>
      </c>
      <c r="V95">
        <v>643.76800000000003</v>
      </c>
      <c r="W95">
        <v>2277</v>
      </c>
      <c r="X95">
        <v>327</v>
      </c>
      <c r="Y95">
        <v>272.5462</v>
      </c>
      <c r="Z95">
        <v>-251.28880000000001</v>
      </c>
      <c r="AA95">
        <v>0</v>
      </c>
      <c r="AB95">
        <v>0</v>
      </c>
      <c r="AC95">
        <v>4.8000000000000001E-2</v>
      </c>
      <c r="AD95" s="1">
        <v>1.16E-259</v>
      </c>
      <c r="AE95">
        <v>0.80830000000000002</v>
      </c>
      <c r="AF95">
        <v>649.90989999999999</v>
      </c>
      <c r="AG95">
        <f t="shared" si="4"/>
        <v>0.80830000000000002</v>
      </c>
      <c r="AH95" t="str">
        <f t="shared" si="5"/>
        <v>Mar 2021</v>
      </c>
      <c r="AI95">
        <f t="shared" si="6"/>
        <v>643.76800000000003</v>
      </c>
      <c r="AJ95" t="str">
        <f t="shared" si="7"/>
        <v>Jan 2021</v>
      </c>
    </row>
    <row r="96" spans="1:36" x14ac:dyDescent="0.2">
      <c r="A96">
        <v>93248</v>
      </c>
      <c r="B96" t="s">
        <v>101</v>
      </c>
      <c r="C96">
        <v>0</v>
      </c>
      <c r="D96">
        <v>-132.30109999999999</v>
      </c>
      <c r="E96">
        <v>310.33769999999998</v>
      </c>
      <c r="F96">
        <v>178.03659999999999</v>
      </c>
      <c r="G96">
        <v>0</v>
      </c>
      <c r="H96" s="1">
        <v>8.3500000000000005E-7</v>
      </c>
      <c r="I96" s="1">
        <v>9.4099999999999996E-10</v>
      </c>
      <c r="J96" s="1">
        <v>9.4599999999999996E-14</v>
      </c>
      <c r="K96">
        <v>0.80569999999999997</v>
      </c>
      <c r="L96">
        <v>597.63160000000005</v>
      </c>
      <c r="M96">
        <v>0</v>
      </c>
      <c r="N96">
        <v>-132.30109999999999</v>
      </c>
      <c r="O96">
        <v>310.33769999999998</v>
      </c>
      <c r="P96">
        <v>178.03659999999999</v>
      </c>
      <c r="Q96">
        <v>0</v>
      </c>
      <c r="R96" s="1">
        <v>8.3500000000000005E-7</v>
      </c>
      <c r="S96" s="1">
        <v>9.4099999999999996E-10</v>
      </c>
      <c r="T96" s="1">
        <v>9.4599999999999996E-14</v>
      </c>
      <c r="U96">
        <v>0.80569999999999997</v>
      </c>
      <c r="V96">
        <v>597.63160000000005</v>
      </c>
      <c r="W96">
        <v>554</v>
      </c>
      <c r="X96">
        <v>28</v>
      </c>
      <c r="Y96">
        <v>-59.930799999999998</v>
      </c>
      <c r="Z96">
        <v>18.1844</v>
      </c>
      <c r="AA96">
        <v>0</v>
      </c>
      <c r="AB96">
        <v>0</v>
      </c>
      <c r="AC96">
        <v>0.48670000000000002</v>
      </c>
      <c r="AD96" s="1">
        <v>5.5799999999999999E-6</v>
      </c>
      <c r="AE96">
        <v>0.80620000000000003</v>
      </c>
      <c r="AF96">
        <v>604.99900000000002</v>
      </c>
      <c r="AG96">
        <f t="shared" si="4"/>
        <v>0.80620000000000003</v>
      </c>
      <c r="AH96" t="str">
        <f t="shared" si="5"/>
        <v>Mar 2021</v>
      </c>
      <c r="AI96">
        <f t="shared" si="6"/>
        <v>597.63160000000005</v>
      </c>
      <c r="AJ96" t="str">
        <f t="shared" si="7"/>
        <v>Jan 2021</v>
      </c>
    </row>
    <row r="97" spans="1:36" x14ac:dyDescent="0.2">
      <c r="A97">
        <v>93303</v>
      </c>
      <c r="B97" t="s">
        <v>102</v>
      </c>
      <c r="C97">
        <v>24302.1021</v>
      </c>
      <c r="D97">
        <v>178.8434</v>
      </c>
      <c r="E97">
        <v>7027.3868000000002</v>
      </c>
      <c r="F97">
        <v>-141.58459999999999</v>
      </c>
      <c r="G97" s="1">
        <v>2.0399999999999998E-238</v>
      </c>
      <c r="H97">
        <v>1.5100000000000001E-2</v>
      </c>
      <c r="I97">
        <v>1.6000000000000001E-3</v>
      </c>
      <c r="J97">
        <v>8.43E-2</v>
      </c>
      <c r="K97">
        <v>0.70389999999999997</v>
      </c>
      <c r="L97">
        <v>1518.0669</v>
      </c>
      <c r="M97">
        <v>25842.5586</v>
      </c>
      <c r="N97">
        <v>27.322199999999999</v>
      </c>
      <c r="O97">
        <v>8086.3008</v>
      </c>
      <c r="P97">
        <v>86.476100000000002</v>
      </c>
      <c r="Q97" s="1">
        <v>2.7599999999999997E-82</v>
      </c>
      <c r="R97">
        <v>0.84699999999999998</v>
      </c>
      <c r="S97">
        <v>6.0000000000000001E-3</v>
      </c>
      <c r="T97">
        <v>0.55769999999999997</v>
      </c>
      <c r="U97">
        <v>0.70379999999999998</v>
      </c>
      <c r="V97">
        <v>1518.0843</v>
      </c>
      <c r="W97">
        <v>23924.0972</v>
      </c>
      <c r="X97">
        <v>210.99189999999999</v>
      </c>
      <c r="Y97">
        <v>6498.3063000000002</v>
      </c>
      <c r="Z97">
        <v>-194.74449999999999</v>
      </c>
      <c r="AA97" s="1">
        <v>3.1199999999999999E-284</v>
      </c>
      <c r="AB97">
        <v>5.9999999999999995E-4</v>
      </c>
      <c r="AC97">
        <v>1.6999999999999999E-3</v>
      </c>
      <c r="AD97">
        <v>9.5999999999999992E-3</v>
      </c>
      <c r="AE97">
        <v>0.70099999999999996</v>
      </c>
      <c r="AF97">
        <v>1518.8284000000001</v>
      </c>
      <c r="AG97">
        <f t="shared" si="4"/>
        <v>0.70389999999999997</v>
      </c>
      <c r="AH97" t="str">
        <f t="shared" si="5"/>
        <v>Jan 2021</v>
      </c>
      <c r="AI97">
        <f t="shared" si="6"/>
        <v>1518.0669</v>
      </c>
      <c r="AJ97" t="str">
        <f t="shared" si="7"/>
        <v>Jan 2021</v>
      </c>
    </row>
    <row r="98" spans="1:36" x14ac:dyDescent="0.2">
      <c r="A98">
        <v>93306</v>
      </c>
      <c r="B98" t="s">
        <v>103</v>
      </c>
      <c r="C98">
        <v>208951.11259999999</v>
      </c>
      <c r="D98">
        <v>238.2936</v>
      </c>
      <c r="E98">
        <v>52356.843699999998</v>
      </c>
      <c r="F98">
        <v>96.74</v>
      </c>
      <c r="G98" s="1">
        <v>1.5000000000000001E-253</v>
      </c>
      <c r="H98">
        <v>0.67649999999999999</v>
      </c>
      <c r="I98">
        <v>4.1000000000000003E-3</v>
      </c>
      <c r="J98">
        <v>0.88539999999999996</v>
      </c>
      <c r="K98">
        <v>0.54779999999999995</v>
      </c>
      <c r="L98">
        <v>1841.8742999999999</v>
      </c>
      <c r="M98">
        <v>218152.28279999999</v>
      </c>
      <c r="N98">
        <v>-670.02760000000001</v>
      </c>
      <c r="O98">
        <v>48474.448799999998</v>
      </c>
      <c r="P98">
        <v>1568.239</v>
      </c>
      <c r="Q98" s="1">
        <v>1.63E-85</v>
      </c>
      <c r="R98">
        <v>0.56420000000000003</v>
      </c>
      <c r="S98">
        <v>4.53E-2</v>
      </c>
      <c r="T98">
        <v>0.1968</v>
      </c>
      <c r="U98">
        <v>0.5353</v>
      </c>
      <c r="V98">
        <v>1843.9938999999999</v>
      </c>
      <c r="W98">
        <v>207275.2672</v>
      </c>
      <c r="X98">
        <v>380.28289999999998</v>
      </c>
      <c r="Y98">
        <v>56250.163399999998</v>
      </c>
      <c r="Z98">
        <v>-316.26929999999999</v>
      </c>
      <c r="AA98">
        <v>0</v>
      </c>
      <c r="AB98">
        <v>0.40150000000000002</v>
      </c>
      <c r="AC98">
        <v>5.0000000000000001E-4</v>
      </c>
      <c r="AD98">
        <v>0.58430000000000004</v>
      </c>
      <c r="AE98">
        <v>0.56399999999999995</v>
      </c>
      <c r="AF98">
        <v>1839.029</v>
      </c>
      <c r="AG98">
        <f t="shared" si="4"/>
        <v>0.56399999999999995</v>
      </c>
      <c r="AH98" t="str">
        <f t="shared" si="5"/>
        <v>Mar 2021</v>
      </c>
      <c r="AI98">
        <f t="shared" si="6"/>
        <v>1839.029</v>
      </c>
      <c r="AJ98" t="str">
        <f t="shared" si="7"/>
        <v>Mar 2021</v>
      </c>
    </row>
    <row r="99" spans="1:36" x14ac:dyDescent="0.2">
      <c r="A99">
        <v>93660</v>
      </c>
      <c r="B99" t="s">
        <v>104</v>
      </c>
      <c r="C99">
        <v>79.53</v>
      </c>
      <c r="D99">
        <v>-1.3620000000000001</v>
      </c>
      <c r="E99">
        <v>-29.194500000000001</v>
      </c>
      <c r="F99">
        <v>2.4762</v>
      </c>
      <c r="G99" s="1">
        <v>1.0999999999999999E-9</v>
      </c>
      <c r="H99">
        <v>1.7899999999999999E-2</v>
      </c>
      <c r="I99">
        <v>2.23E-2</v>
      </c>
      <c r="J99">
        <v>2.0000000000000001E-4</v>
      </c>
      <c r="K99">
        <v>0.34970000000000001</v>
      </c>
      <c r="L99">
        <v>754.65530000000001</v>
      </c>
      <c r="M99">
        <v>68.882800000000003</v>
      </c>
      <c r="N99">
        <v>-0.31180000000000002</v>
      </c>
      <c r="O99">
        <v>-54.807299999999998</v>
      </c>
      <c r="P99">
        <v>1.1201000000000001</v>
      </c>
      <c r="Q99" s="1">
        <v>5.9599999999999998E-8</v>
      </c>
      <c r="R99">
        <v>0.70789999999999997</v>
      </c>
      <c r="S99">
        <v>4.0000000000000002E-4</v>
      </c>
      <c r="T99">
        <v>0.1948</v>
      </c>
      <c r="U99">
        <v>0.38329999999999997</v>
      </c>
      <c r="V99">
        <v>750.51289999999995</v>
      </c>
      <c r="W99">
        <v>82.303600000000003</v>
      </c>
      <c r="X99">
        <v>-1.5968</v>
      </c>
      <c r="Y99">
        <v>-17.414999999999999</v>
      </c>
      <c r="Z99">
        <v>2.6768999999999998</v>
      </c>
      <c r="AA99" s="1">
        <v>5.0000000000000003E-10</v>
      </c>
      <c r="AB99">
        <v>3.2000000000000002E-3</v>
      </c>
      <c r="AC99">
        <v>0.2046</v>
      </c>
      <c r="AD99" s="1">
        <v>2.8900000000000001E-5</v>
      </c>
      <c r="AE99">
        <v>0.33410000000000001</v>
      </c>
      <c r="AF99">
        <v>756.49480000000005</v>
      </c>
      <c r="AG99">
        <f t="shared" si="4"/>
        <v>0.38329999999999997</v>
      </c>
      <c r="AH99" t="str">
        <f t="shared" si="5"/>
        <v>Jun 2020</v>
      </c>
      <c r="AI99">
        <f t="shared" si="6"/>
        <v>750.51289999999995</v>
      </c>
      <c r="AJ99" t="str">
        <f t="shared" si="7"/>
        <v>Jun 2020</v>
      </c>
    </row>
    <row r="100" spans="1:36" x14ac:dyDescent="0.2">
      <c r="A100">
        <v>94761</v>
      </c>
      <c r="B100" t="s">
        <v>105</v>
      </c>
      <c r="C100">
        <v>20358.199700000001</v>
      </c>
      <c r="D100">
        <v>-252.43199999999999</v>
      </c>
      <c r="E100">
        <v>2904.203</v>
      </c>
      <c r="F100">
        <v>255.01920000000001</v>
      </c>
      <c r="G100" s="1">
        <v>9.8200000000000005E-241</v>
      </c>
      <c r="H100" s="1">
        <v>4.1499999999999999E-9</v>
      </c>
      <c r="I100">
        <v>3.4700000000000002E-2</v>
      </c>
      <c r="J100" s="1">
        <v>7.0800000000000004E-7</v>
      </c>
      <c r="K100">
        <v>0.47539999999999999</v>
      </c>
      <c r="L100">
        <v>1426.1717000000001</v>
      </c>
      <c r="M100">
        <v>20208.344799999999</v>
      </c>
      <c r="N100">
        <v>-233.76349999999999</v>
      </c>
      <c r="O100">
        <v>-634.37879999999996</v>
      </c>
      <c r="P100">
        <v>276.71069999999997</v>
      </c>
      <c r="Q100" s="1">
        <v>7.6100000000000003E-101</v>
      </c>
      <c r="R100">
        <v>1.26E-2</v>
      </c>
      <c r="S100">
        <v>0.73899999999999999</v>
      </c>
      <c r="T100">
        <v>4.8999999999999998E-3</v>
      </c>
      <c r="U100">
        <v>0.4531</v>
      </c>
      <c r="V100">
        <v>1429.4155000000001</v>
      </c>
      <c r="W100">
        <v>20280.2834</v>
      </c>
      <c r="X100">
        <v>-245.71940000000001</v>
      </c>
      <c r="Y100">
        <v>3748.8706000000002</v>
      </c>
      <c r="Z100">
        <v>229.54089999999999</v>
      </c>
      <c r="AA100" s="1">
        <v>1.4599999999999999E-273</v>
      </c>
      <c r="AB100" s="1">
        <v>2.5900000000000001E-12</v>
      </c>
      <c r="AC100">
        <v>2.5000000000000001E-3</v>
      </c>
      <c r="AD100" s="1">
        <v>3.0800000000000001E-7</v>
      </c>
      <c r="AE100">
        <v>0.49730000000000002</v>
      </c>
      <c r="AF100">
        <v>1422.8411000000001</v>
      </c>
      <c r="AG100">
        <f t="shared" si="4"/>
        <v>0.49730000000000002</v>
      </c>
      <c r="AH100" t="str">
        <f t="shared" si="5"/>
        <v>Mar 2021</v>
      </c>
      <c r="AI100">
        <f t="shared" si="6"/>
        <v>1422.8411000000001</v>
      </c>
      <c r="AJ100" t="str">
        <f t="shared" si="7"/>
        <v>Mar 2021</v>
      </c>
    </row>
    <row r="101" spans="1:36" x14ac:dyDescent="0.2">
      <c r="A101">
        <v>94762</v>
      </c>
      <c r="B101" t="s">
        <v>105</v>
      </c>
      <c r="C101">
        <v>4259.3362999999999</v>
      </c>
      <c r="D101">
        <v>-40.0319</v>
      </c>
      <c r="E101">
        <v>110.926</v>
      </c>
      <c r="F101">
        <v>43.456000000000003</v>
      </c>
      <c r="G101" s="1">
        <v>8.4E-54</v>
      </c>
      <c r="H101">
        <v>1.32E-2</v>
      </c>
      <c r="I101">
        <v>0.79910000000000003</v>
      </c>
      <c r="J101">
        <v>1.5699999999999999E-2</v>
      </c>
      <c r="K101">
        <v>0.2324</v>
      </c>
      <c r="L101">
        <v>1260.0032000000001</v>
      </c>
      <c r="M101">
        <v>3803.2552000000001</v>
      </c>
      <c r="N101">
        <v>5.0975000000000001</v>
      </c>
      <c r="O101">
        <v>-1364.9556</v>
      </c>
      <c r="P101">
        <v>8.8432999999999993</v>
      </c>
      <c r="Q101" s="1">
        <v>3.83E-38</v>
      </c>
      <c r="R101">
        <v>0.86850000000000005</v>
      </c>
      <c r="S101">
        <v>2.87E-2</v>
      </c>
      <c r="T101">
        <v>0.78010000000000002</v>
      </c>
      <c r="U101">
        <v>0.36959999999999998</v>
      </c>
      <c r="V101">
        <v>1244.6371999999999</v>
      </c>
      <c r="W101">
        <v>4308.4736999999996</v>
      </c>
      <c r="X101">
        <v>-44.197699999999998</v>
      </c>
      <c r="Y101">
        <v>452.52670000000001</v>
      </c>
      <c r="Z101">
        <v>42.043599999999998</v>
      </c>
      <c r="AA101" s="1">
        <v>4.2399999999999999E-55</v>
      </c>
      <c r="AB101">
        <v>1E-3</v>
      </c>
      <c r="AC101">
        <v>0.22839999999999999</v>
      </c>
      <c r="AD101">
        <v>4.4000000000000003E-3</v>
      </c>
      <c r="AE101">
        <v>0.2477</v>
      </c>
      <c r="AF101">
        <v>1258.4305999999999</v>
      </c>
      <c r="AG101">
        <f t="shared" si="4"/>
        <v>0.36959999999999998</v>
      </c>
      <c r="AH101" t="str">
        <f t="shared" si="5"/>
        <v>Jun 2020</v>
      </c>
      <c r="AI101">
        <f t="shared" si="6"/>
        <v>1244.6371999999999</v>
      </c>
      <c r="AJ101" t="str">
        <f t="shared" si="7"/>
        <v>Jun 2020</v>
      </c>
    </row>
    <row r="102" spans="1:36" x14ac:dyDescent="0.2">
      <c r="A102">
        <v>95816</v>
      </c>
      <c r="B102" t="s">
        <v>106</v>
      </c>
      <c r="C102">
        <v>8079.5150000000003</v>
      </c>
      <c r="D102">
        <v>-15.102399999999999</v>
      </c>
      <c r="E102">
        <v>2265.2087999999999</v>
      </c>
      <c r="F102">
        <v>74.018500000000003</v>
      </c>
      <c r="G102" s="1">
        <v>4.2899999999999999E-128</v>
      </c>
      <c r="H102">
        <v>0.55149999999999999</v>
      </c>
      <c r="I102">
        <v>5.1999999999999998E-3</v>
      </c>
      <c r="J102">
        <v>1.55E-2</v>
      </c>
      <c r="K102">
        <v>0.59340000000000004</v>
      </c>
      <c r="L102">
        <v>1371.0043000000001</v>
      </c>
      <c r="M102">
        <v>8388.2620999999999</v>
      </c>
      <c r="N102">
        <v>-45.077800000000003</v>
      </c>
      <c r="O102">
        <v>1455.2718</v>
      </c>
      <c r="P102">
        <v>127.83920000000001</v>
      </c>
      <c r="Q102" s="1">
        <v>5.3599999999999997E-52</v>
      </c>
      <c r="R102">
        <v>0.40510000000000002</v>
      </c>
      <c r="S102">
        <v>0.1895</v>
      </c>
      <c r="T102">
        <v>2.3900000000000001E-2</v>
      </c>
      <c r="U102">
        <v>0.57909999999999995</v>
      </c>
      <c r="V102">
        <v>1373.7041999999999</v>
      </c>
      <c r="W102">
        <v>7991.7448999999997</v>
      </c>
      <c r="X102">
        <v>-7.6433999999999997</v>
      </c>
      <c r="Y102">
        <v>2524.6684</v>
      </c>
      <c r="Z102">
        <v>55.411299999999997</v>
      </c>
      <c r="AA102" s="1">
        <v>6.0000000000000003E-149</v>
      </c>
      <c r="AB102">
        <v>0.71299999999999997</v>
      </c>
      <c r="AC102">
        <v>8.0000000000000004E-4</v>
      </c>
      <c r="AD102">
        <v>4.7100000000000003E-2</v>
      </c>
      <c r="AE102">
        <v>0.60240000000000005</v>
      </c>
      <c r="AF102">
        <v>1369.2569000000001</v>
      </c>
      <c r="AG102">
        <f t="shared" si="4"/>
        <v>0.60240000000000005</v>
      </c>
      <c r="AH102" t="str">
        <f t="shared" si="5"/>
        <v>Mar 2021</v>
      </c>
      <c r="AI102">
        <f t="shared" si="6"/>
        <v>1369.2569000000001</v>
      </c>
      <c r="AJ102" t="str">
        <f t="shared" si="7"/>
        <v>Mar 2021</v>
      </c>
    </row>
    <row r="103" spans="1:36" x14ac:dyDescent="0.2">
      <c r="A103">
        <v>95885</v>
      </c>
      <c r="B103" t="s">
        <v>107</v>
      </c>
      <c r="C103">
        <v>1518.0856000000001</v>
      </c>
      <c r="D103">
        <v>-8.4382000000000001</v>
      </c>
      <c r="E103">
        <v>331.11399999999998</v>
      </c>
      <c r="F103">
        <v>17.821200000000001</v>
      </c>
      <c r="G103" s="1">
        <v>1.7499999999999999E-70</v>
      </c>
      <c r="H103">
        <v>0.1721</v>
      </c>
      <c r="I103">
        <v>6.1199999999999997E-2</v>
      </c>
      <c r="J103">
        <v>1.0500000000000001E-2</v>
      </c>
      <c r="K103">
        <v>0.30409999999999998</v>
      </c>
      <c r="L103">
        <v>1143.0978</v>
      </c>
      <c r="M103">
        <v>1628.0482999999999</v>
      </c>
      <c r="N103">
        <v>-19.2498</v>
      </c>
      <c r="O103">
        <v>344.57240000000002</v>
      </c>
      <c r="P103">
        <v>30.208300000000001</v>
      </c>
      <c r="Q103" s="1">
        <v>8.9899999999999996E-52</v>
      </c>
      <c r="R103">
        <v>7.3700000000000002E-2</v>
      </c>
      <c r="S103">
        <v>0.1176</v>
      </c>
      <c r="T103">
        <v>6.8999999999999999E-3</v>
      </c>
      <c r="U103">
        <v>0.34139999999999998</v>
      </c>
      <c r="V103">
        <v>1138.8061</v>
      </c>
      <c r="W103">
        <v>1503.1012000000001</v>
      </c>
      <c r="X103">
        <v>-7.1435000000000004</v>
      </c>
      <c r="Y103">
        <v>372.6103</v>
      </c>
      <c r="Z103">
        <v>15.092000000000001</v>
      </c>
      <c r="AA103" s="1">
        <v>6.3499999999999998E-78</v>
      </c>
      <c r="AB103">
        <v>0.1585</v>
      </c>
      <c r="AC103">
        <v>2.6200000000000001E-2</v>
      </c>
      <c r="AD103">
        <v>1.52E-2</v>
      </c>
      <c r="AE103">
        <v>0.30780000000000002</v>
      </c>
      <c r="AF103">
        <v>1142.6786999999999</v>
      </c>
      <c r="AG103">
        <f t="shared" si="4"/>
        <v>0.34139999999999998</v>
      </c>
      <c r="AH103" t="str">
        <f t="shared" si="5"/>
        <v>Jun 2020</v>
      </c>
      <c r="AI103">
        <f t="shared" si="6"/>
        <v>1138.8061</v>
      </c>
      <c r="AJ103" t="str">
        <f t="shared" si="7"/>
        <v>Jun 2020</v>
      </c>
    </row>
    <row r="104" spans="1:36" x14ac:dyDescent="0.2">
      <c r="A104">
        <v>95886</v>
      </c>
      <c r="B104" t="s">
        <v>107</v>
      </c>
      <c r="C104">
        <v>18269.250800000002</v>
      </c>
      <c r="D104">
        <v>15.1968</v>
      </c>
      <c r="E104">
        <v>6193.1823999999997</v>
      </c>
      <c r="F104">
        <v>43.984299999999998</v>
      </c>
      <c r="G104" s="1">
        <v>3.1600000000000002E-129</v>
      </c>
      <c r="H104">
        <v>0.82289999999999996</v>
      </c>
      <c r="I104">
        <v>2.8999999999999998E-3</v>
      </c>
      <c r="J104">
        <v>0.57999999999999996</v>
      </c>
      <c r="K104">
        <v>0.54310000000000003</v>
      </c>
      <c r="L104">
        <v>1514.8916999999999</v>
      </c>
      <c r="M104">
        <v>19868.241399999999</v>
      </c>
      <c r="N104">
        <v>-142.26599999999999</v>
      </c>
      <c r="O104">
        <v>6849.4263000000001</v>
      </c>
      <c r="P104">
        <v>254.97890000000001</v>
      </c>
      <c r="Q104" s="1">
        <v>1.07E-71</v>
      </c>
      <c r="R104">
        <v>0.20930000000000001</v>
      </c>
      <c r="S104">
        <v>4.0000000000000001E-3</v>
      </c>
      <c r="T104">
        <v>3.3799999999999997E-2</v>
      </c>
      <c r="U104">
        <v>0.5696</v>
      </c>
      <c r="V104">
        <v>1510.2329999999999</v>
      </c>
      <c r="W104">
        <v>17942.299599999998</v>
      </c>
      <c r="X104">
        <v>42.978099999999998</v>
      </c>
      <c r="Y104">
        <v>6148.8446999999996</v>
      </c>
      <c r="Z104">
        <v>-4.9359000000000002</v>
      </c>
      <c r="AA104" s="1">
        <v>5.2399999999999998E-146</v>
      </c>
      <c r="AB104">
        <v>0.44629999999999997</v>
      </c>
      <c r="AC104">
        <v>1.6000000000000001E-3</v>
      </c>
      <c r="AD104">
        <v>0.94689999999999996</v>
      </c>
      <c r="AE104">
        <v>0.54190000000000005</v>
      </c>
      <c r="AF104">
        <v>1515.0914</v>
      </c>
      <c r="AG104">
        <f t="shared" si="4"/>
        <v>0.5696</v>
      </c>
      <c r="AH104" t="str">
        <f t="shared" si="5"/>
        <v>Jun 2020</v>
      </c>
      <c r="AI104">
        <f t="shared" si="6"/>
        <v>1510.2329999999999</v>
      </c>
      <c r="AJ104" t="str">
        <f t="shared" si="7"/>
        <v>Jun 2020</v>
      </c>
    </row>
    <row r="105" spans="1:36" x14ac:dyDescent="0.2">
      <c r="A105">
        <v>95907</v>
      </c>
      <c r="B105" t="s">
        <v>108</v>
      </c>
      <c r="C105">
        <v>60.828800000000001</v>
      </c>
      <c r="D105">
        <v>-1.0711999999999999</v>
      </c>
      <c r="E105">
        <v>-6.7769000000000004</v>
      </c>
      <c r="F105">
        <v>0.72950000000000004</v>
      </c>
      <c r="G105" s="1">
        <v>1.8700000000000001E-6</v>
      </c>
      <c r="H105">
        <v>5.2200000000000003E-2</v>
      </c>
      <c r="I105">
        <v>0.50760000000000005</v>
      </c>
      <c r="J105">
        <v>0.20119999999999999</v>
      </c>
      <c r="K105">
        <v>0.42499999999999999</v>
      </c>
      <c r="L105">
        <v>715.84659999999997</v>
      </c>
      <c r="M105">
        <v>66.420699999999997</v>
      </c>
      <c r="N105">
        <v>-1.6483000000000001</v>
      </c>
      <c r="O105">
        <v>9.0396999999999998</v>
      </c>
      <c r="P105">
        <v>1.0024999999999999</v>
      </c>
      <c r="Q105" s="1">
        <v>1.35E-6</v>
      </c>
      <c r="R105">
        <v>2.29E-2</v>
      </c>
      <c r="S105">
        <v>0.4385</v>
      </c>
      <c r="T105">
        <v>0.17849999999999999</v>
      </c>
      <c r="U105">
        <v>0.42620000000000002</v>
      </c>
      <c r="V105">
        <v>715.67660000000001</v>
      </c>
      <c r="W105">
        <v>62.271299999999997</v>
      </c>
      <c r="X105">
        <v>-1.1924999999999999</v>
      </c>
      <c r="Y105">
        <v>-0.2767</v>
      </c>
      <c r="Z105">
        <v>0.77669999999999995</v>
      </c>
      <c r="AA105" s="1">
        <v>3.6899999999999998E-7</v>
      </c>
      <c r="AB105">
        <v>1.61E-2</v>
      </c>
      <c r="AC105">
        <v>0.9778</v>
      </c>
      <c r="AD105">
        <v>0.1328</v>
      </c>
      <c r="AE105">
        <v>0.42259999999999998</v>
      </c>
      <c r="AF105">
        <v>716.16070000000002</v>
      </c>
      <c r="AG105">
        <f t="shared" si="4"/>
        <v>0.42620000000000002</v>
      </c>
      <c r="AH105" t="str">
        <f t="shared" si="5"/>
        <v>Jun 2020</v>
      </c>
      <c r="AI105">
        <f t="shared" si="6"/>
        <v>715.67660000000001</v>
      </c>
      <c r="AJ105" t="str">
        <f t="shared" si="7"/>
        <v>Jun 2020</v>
      </c>
    </row>
    <row r="106" spans="1:36" x14ac:dyDescent="0.2">
      <c r="A106">
        <v>95908</v>
      </c>
      <c r="B106" t="s">
        <v>108</v>
      </c>
      <c r="C106">
        <v>468.74619999999999</v>
      </c>
      <c r="D106">
        <v>-6.1077000000000004</v>
      </c>
      <c r="E106">
        <v>115.6315</v>
      </c>
      <c r="F106">
        <v>7.6188000000000002</v>
      </c>
      <c r="G106" s="1">
        <v>1.7600000000000001E-73</v>
      </c>
      <c r="H106">
        <v>1.6000000000000001E-3</v>
      </c>
      <c r="I106">
        <v>4.7E-2</v>
      </c>
      <c r="J106">
        <v>6.9999999999999999E-4</v>
      </c>
      <c r="K106">
        <v>0.1973</v>
      </c>
      <c r="L106">
        <v>957.30930000000001</v>
      </c>
      <c r="M106">
        <v>519.95860000000005</v>
      </c>
      <c r="N106">
        <v>-11.1128</v>
      </c>
      <c r="O106">
        <v>143.3837</v>
      </c>
      <c r="P106">
        <v>12.853999999999999</v>
      </c>
      <c r="Q106" s="1">
        <v>3.1200000000000003E-64</v>
      </c>
      <c r="R106" s="1">
        <v>7.3399999999999995E-5</v>
      </c>
      <c r="S106">
        <v>1.32E-2</v>
      </c>
      <c r="T106" s="1">
        <v>9.7999999999999993E-6</v>
      </c>
      <c r="U106">
        <v>0.30649999999999999</v>
      </c>
      <c r="V106">
        <v>945.89850000000001</v>
      </c>
      <c r="W106">
        <v>456.20240000000001</v>
      </c>
      <c r="X106">
        <v>-5.0465</v>
      </c>
      <c r="Y106">
        <v>102.52209999999999</v>
      </c>
      <c r="Z106">
        <v>6.6182999999999996</v>
      </c>
      <c r="AA106" s="1">
        <v>7.2699999999999998E-71</v>
      </c>
      <c r="AB106">
        <v>3.2000000000000002E-3</v>
      </c>
      <c r="AC106">
        <v>6.6600000000000006E-2</v>
      </c>
      <c r="AD106">
        <v>3.7000000000000002E-3</v>
      </c>
      <c r="AE106">
        <v>0.16739999999999999</v>
      </c>
      <c r="AF106">
        <v>960.15830000000005</v>
      </c>
      <c r="AG106">
        <f t="shared" si="4"/>
        <v>0.30649999999999999</v>
      </c>
      <c r="AH106" t="str">
        <f t="shared" si="5"/>
        <v>Jun 2020</v>
      </c>
      <c r="AI106">
        <f t="shared" si="6"/>
        <v>945.89850000000001</v>
      </c>
      <c r="AJ106" t="str">
        <f t="shared" si="7"/>
        <v>Jun 2020</v>
      </c>
    </row>
    <row r="107" spans="1:36" x14ac:dyDescent="0.2">
      <c r="A107">
        <v>95909</v>
      </c>
      <c r="B107" t="s">
        <v>108</v>
      </c>
      <c r="C107">
        <v>944.96699999999998</v>
      </c>
      <c r="D107">
        <v>-1.0774999999999999</v>
      </c>
      <c r="E107">
        <v>369.23140000000001</v>
      </c>
      <c r="F107">
        <v>4.0936000000000003</v>
      </c>
      <c r="G107" s="1">
        <v>1.93E-50</v>
      </c>
      <c r="H107">
        <v>0.8276</v>
      </c>
      <c r="I107">
        <v>1.6400000000000001E-2</v>
      </c>
      <c r="J107">
        <v>0.48199999999999998</v>
      </c>
      <c r="K107">
        <v>0.36370000000000002</v>
      </c>
      <c r="L107">
        <v>1115.7184999999999</v>
      </c>
      <c r="M107">
        <v>1043.5999999999999</v>
      </c>
      <c r="N107">
        <v>-10.8581</v>
      </c>
      <c r="O107">
        <v>413.7516</v>
      </c>
      <c r="P107">
        <v>16.8231</v>
      </c>
      <c r="Q107" s="1">
        <v>7.9299999999999996E-39</v>
      </c>
      <c r="R107">
        <v>0.19</v>
      </c>
      <c r="S107">
        <v>1.9599999999999999E-2</v>
      </c>
      <c r="T107">
        <v>5.3400000000000003E-2</v>
      </c>
      <c r="U107">
        <v>0.39150000000000001</v>
      </c>
      <c r="V107">
        <v>1112.2267999999999</v>
      </c>
      <c r="W107">
        <v>920.87850000000003</v>
      </c>
      <c r="X107">
        <v>0.97670000000000001</v>
      </c>
      <c r="Y107">
        <v>348.47609999999997</v>
      </c>
      <c r="Z107">
        <v>1.1895</v>
      </c>
      <c r="AA107" s="1">
        <v>3.2000000000000001E-52</v>
      </c>
      <c r="AB107">
        <v>0.8135</v>
      </c>
      <c r="AC107">
        <v>2.0400000000000001E-2</v>
      </c>
      <c r="AD107">
        <v>0.83209999999999995</v>
      </c>
      <c r="AE107">
        <v>0.35489999999999999</v>
      </c>
      <c r="AF107">
        <v>1116.7898</v>
      </c>
      <c r="AG107">
        <f t="shared" si="4"/>
        <v>0.39150000000000001</v>
      </c>
      <c r="AH107" t="str">
        <f t="shared" si="5"/>
        <v>Jun 2020</v>
      </c>
      <c r="AI107">
        <f t="shared" si="6"/>
        <v>1112.2267999999999</v>
      </c>
      <c r="AJ107" t="str">
        <f t="shared" si="7"/>
        <v>Jun 2020</v>
      </c>
    </row>
    <row r="108" spans="1:36" x14ac:dyDescent="0.2">
      <c r="A108">
        <v>95910</v>
      </c>
      <c r="B108" t="s">
        <v>108</v>
      </c>
      <c r="C108">
        <v>1895.3198</v>
      </c>
      <c r="D108">
        <v>-12.794499999999999</v>
      </c>
      <c r="E108">
        <v>773.12879999999996</v>
      </c>
      <c r="F108">
        <v>12.3338</v>
      </c>
      <c r="G108" s="1">
        <v>4.5299999999999999E-91</v>
      </c>
      <c r="H108">
        <v>6.3600000000000004E-2</v>
      </c>
      <c r="I108">
        <v>4.0000000000000002E-4</v>
      </c>
      <c r="J108">
        <v>0.1421</v>
      </c>
      <c r="K108">
        <v>0.33739999999999998</v>
      </c>
      <c r="L108">
        <v>1172.4608000000001</v>
      </c>
      <c r="M108">
        <v>2039.7379000000001</v>
      </c>
      <c r="N108">
        <v>-27.033000000000001</v>
      </c>
      <c r="O108">
        <v>677.95410000000004</v>
      </c>
      <c r="P108">
        <v>34.19</v>
      </c>
      <c r="Q108" s="1">
        <v>8.6900000000000002E-69</v>
      </c>
      <c r="R108">
        <v>1.9599999999999999E-2</v>
      </c>
      <c r="S108">
        <v>8.2000000000000007E-3</v>
      </c>
      <c r="T108">
        <v>6.3E-3</v>
      </c>
      <c r="U108">
        <v>0.33100000000000002</v>
      </c>
      <c r="V108">
        <v>1173.2190000000001</v>
      </c>
      <c r="W108">
        <v>1858.5749000000001</v>
      </c>
      <c r="X108">
        <v>-9.6712000000000007</v>
      </c>
      <c r="Y108">
        <v>801.42060000000004</v>
      </c>
      <c r="Z108">
        <v>6.1449999999999996</v>
      </c>
      <c r="AA108" s="1">
        <v>2.8100000000000001E-91</v>
      </c>
      <c r="AB108">
        <v>0.10390000000000001</v>
      </c>
      <c r="AC108">
        <v>1E-4</v>
      </c>
      <c r="AD108">
        <v>0.4456</v>
      </c>
      <c r="AE108">
        <v>0.34370000000000001</v>
      </c>
      <c r="AF108">
        <v>1171.7130999999999</v>
      </c>
      <c r="AG108">
        <f t="shared" si="4"/>
        <v>0.34370000000000001</v>
      </c>
      <c r="AH108" t="str">
        <f t="shared" si="5"/>
        <v>Mar 2021</v>
      </c>
      <c r="AI108">
        <f t="shared" si="6"/>
        <v>1171.7130999999999</v>
      </c>
      <c r="AJ108" t="str">
        <f t="shared" si="7"/>
        <v>Mar 2021</v>
      </c>
    </row>
    <row r="109" spans="1:36" x14ac:dyDescent="0.2">
      <c r="A109">
        <v>95911</v>
      </c>
      <c r="B109" t="s">
        <v>108</v>
      </c>
      <c r="C109">
        <v>3376.2206999999999</v>
      </c>
      <c r="D109">
        <v>14.4255</v>
      </c>
      <c r="E109">
        <v>986.97450000000003</v>
      </c>
      <c r="F109">
        <v>-4.0175999999999998</v>
      </c>
      <c r="G109" s="1">
        <v>1.1E-113</v>
      </c>
      <c r="H109">
        <v>0.29339999999999999</v>
      </c>
      <c r="I109">
        <v>2.41E-2</v>
      </c>
      <c r="J109">
        <v>0.80830000000000002</v>
      </c>
      <c r="K109">
        <v>0.49840000000000001</v>
      </c>
      <c r="L109">
        <v>1270.3869999999999</v>
      </c>
      <c r="M109">
        <v>3666.4897000000001</v>
      </c>
      <c r="N109">
        <v>-14.3355</v>
      </c>
      <c r="O109">
        <v>1254.3193000000001</v>
      </c>
      <c r="P109">
        <v>32.727800000000002</v>
      </c>
      <c r="Q109" s="1">
        <v>5.7799999999999999E-58</v>
      </c>
      <c r="R109">
        <v>0.53239999999999998</v>
      </c>
      <c r="S109">
        <v>9.5999999999999992E-3</v>
      </c>
      <c r="T109">
        <v>0.1792</v>
      </c>
      <c r="U109">
        <v>0.5272</v>
      </c>
      <c r="V109">
        <v>1265.7764999999999</v>
      </c>
      <c r="W109">
        <v>3339.4211</v>
      </c>
      <c r="X109">
        <v>17.5562</v>
      </c>
      <c r="Y109">
        <v>1022.0038</v>
      </c>
      <c r="Z109">
        <v>-11.6905</v>
      </c>
      <c r="AA109" s="1">
        <v>3.8400000000000002E-148</v>
      </c>
      <c r="AB109">
        <v>0.1072</v>
      </c>
      <c r="AC109">
        <v>1.1900000000000001E-2</v>
      </c>
      <c r="AD109">
        <v>0.44280000000000003</v>
      </c>
      <c r="AE109">
        <v>0.50490000000000002</v>
      </c>
      <c r="AF109">
        <v>1269.3807999999999</v>
      </c>
      <c r="AG109">
        <f t="shared" si="4"/>
        <v>0.5272</v>
      </c>
      <c r="AH109" t="str">
        <f t="shared" si="5"/>
        <v>Jun 2020</v>
      </c>
      <c r="AI109">
        <f t="shared" si="6"/>
        <v>1265.7764999999999</v>
      </c>
      <c r="AJ109" t="str">
        <f t="shared" si="7"/>
        <v>Jun 2020</v>
      </c>
    </row>
    <row r="110" spans="1:36" x14ac:dyDescent="0.2">
      <c r="A110">
        <v>95912</v>
      </c>
      <c r="B110" t="s">
        <v>108</v>
      </c>
      <c r="C110">
        <v>2215.8198000000002</v>
      </c>
      <c r="D110">
        <v>-17.204000000000001</v>
      </c>
      <c r="E110">
        <v>335.5881</v>
      </c>
      <c r="F110">
        <v>36.334400000000002</v>
      </c>
      <c r="G110" s="1">
        <v>9.5800000000000005E-160</v>
      </c>
      <c r="H110">
        <v>3.3999999999999998E-3</v>
      </c>
      <c r="I110">
        <v>8.0299999999999996E-2</v>
      </c>
      <c r="J110" s="1">
        <v>1.7099999999999999E-6</v>
      </c>
      <c r="K110">
        <v>0.4083</v>
      </c>
      <c r="L110">
        <v>1160.1477</v>
      </c>
      <c r="M110">
        <v>2313.8897000000002</v>
      </c>
      <c r="N110">
        <v>-26.925599999999999</v>
      </c>
      <c r="O110">
        <v>222.5378</v>
      </c>
      <c r="P110">
        <v>46.9754</v>
      </c>
      <c r="Q110" s="1">
        <v>1.43E-87</v>
      </c>
      <c r="R110">
        <v>1.44E-2</v>
      </c>
      <c r="S110">
        <v>0.33260000000000001</v>
      </c>
      <c r="T110" s="1">
        <v>4.9200000000000003E-5</v>
      </c>
      <c r="U110">
        <v>0.42749999999999999</v>
      </c>
      <c r="V110">
        <v>1157.5726</v>
      </c>
      <c r="W110">
        <v>2219.6154000000001</v>
      </c>
      <c r="X110">
        <v>-17.506900000000002</v>
      </c>
      <c r="Y110">
        <v>504.8263</v>
      </c>
      <c r="Z110">
        <v>33.323599999999999</v>
      </c>
      <c r="AA110" s="1">
        <v>3.6499999999999999E-185</v>
      </c>
      <c r="AB110">
        <v>2.0000000000000001E-4</v>
      </c>
      <c r="AC110">
        <v>5.1999999999999998E-3</v>
      </c>
      <c r="AD110" s="1">
        <v>1.0300000000000001E-6</v>
      </c>
      <c r="AE110">
        <v>0.43340000000000001</v>
      </c>
      <c r="AF110">
        <v>1156.7665999999999</v>
      </c>
      <c r="AG110">
        <f t="shared" si="4"/>
        <v>0.43340000000000001</v>
      </c>
      <c r="AH110" t="str">
        <f t="shared" si="5"/>
        <v>Mar 2021</v>
      </c>
      <c r="AI110">
        <f t="shared" si="6"/>
        <v>1156.7665999999999</v>
      </c>
      <c r="AJ110" t="str">
        <f t="shared" si="7"/>
        <v>Mar 2021</v>
      </c>
    </row>
    <row r="111" spans="1:36" x14ac:dyDescent="0.2">
      <c r="A111">
        <v>95913</v>
      </c>
      <c r="B111" t="s">
        <v>108</v>
      </c>
      <c r="C111">
        <v>1832.0195000000001</v>
      </c>
      <c r="D111">
        <v>4.0925000000000002</v>
      </c>
      <c r="E111">
        <v>538.25049999999999</v>
      </c>
      <c r="F111">
        <v>4.7508999999999997</v>
      </c>
      <c r="G111" s="1">
        <v>5.7600000000000003E-71</v>
      </c>
      <c r="H111">
        <v>0.59199999999999997</v>
      </c>
      <c r="I111">
        <v>1.6299999999999999E-2</v>
      </c>
      <c r="J111">
        <v>0.60399999999999998</v>
      </c>
      <c r="K111">
        <v>0.53439999999999999</v>
      </c>
      <c r="L111">
        <v>1165.6084000000001</v>
      </c>
      <c r="M111">
        <v>2050.6621</v>
      </c>
      <c r="N111">
        <v>-17.281300000000002</v>
      </c>
      <c r="O111">
        <v>783.33370000000002</v>
      </c>
      <c r="P111">
        <v>29.0977</v>
      </c>
      <c r="Q111" s="1">
        <v>9.1299999999999998E-117</v>
      </c>
      <c r="R111">
        <v>2.5399999999999999E-2</v>
      </c>
      <c r="S111" s="1">
        <v>5.8599999999999998E-6</v>
      </c>
      <c r="T111">
        <v>1E-3</v>
      </c>
      <c r="U111">
        <v>0.60770000000000002</v>
      </c>
      <c r="V111">
        <v>1152.2399</v>
      </c>
      <c r="W111">
        <v>1793.7045000000001</v>
      </c>
      <c r="X111">
        <v>7.3517000000000001</v>
      </c>
      <c r="Y111">
        <v>491.95650000000001</v>
      </c>
      <c r="Z111">
        <v>0.51180000000000003</v>
      </c>
      <c r="AA111" s="1">
        <v>1.9E-72</v>
      </c>
      <c r="AB111">
        <v>0.26190000000000002</v>
      </c>
      <c r="AC111">
        <v>2.5899999999999999E-2</v>
      </c>
      <c r="AD111">
        <v>0.95450000000000002</v>
      </c>
      <c r="AE111">
        <v>0.52439999999999998</v>
      </c>
      <c r="AF111">
        <v>1167.2574</v>
      </c>
      <c r="AG111">
        <f t="shared" si="4"/>
        <v>0.60770000000000002</v>
      </c>
      <c r="AH111" t="str">
        <f t="shared" si="5"/>
        <v>Jun 2020</v>
      </c>
      <c r="AI111">
        <f t="shared" si="6"/>
        <v>1152.2399</v>
      </c>
      <c r="AJ111" t="str">
        <f t="shared" si="7"/>
        <v>Jun 2020</v>
      </c>
    </row>
    <row r="112" spans="1:36" x14ac:dyDescent="0.2">
      <c r="A112">
        <v>95921</v>
      </c>
      <c r="B112" t="s">
        <v>109</v>
      </c>
      <c r="C112">
        <v>2191.0210000000002</v>
      </c>
      <c r="D112">
        <v>-11.0901</v>
      </c>
      <c r="E112">
        <v>681.96950000000004</v>
      </c>
      <c r="F112">
        <v>23.8795</v>
      </c>
      <c r="G112" s="1">
        <v>2.3699999999999999E-36</v>
      </c>
      <c r="H112">
        <v>0.24429999999999999</v>
      </c>
      <c r="I112">
        <v>2.12E-2</v>
      </c>
      <c r="J112">
        <v>2.87E-2</v>
      </c>
      <c r="K112">
        <v>0.36070000000000002</v>
      </c>
      <c r="L112">
        <v>1219.8822</v>
      </c>
      <c r="M112">
        <v>2172.7586000000001</v>
      </c>
      <c r="N112">
        <v>-9.3153000000000006</v>
      </c>
      <c r="O112">
        <v>155.31639999999999</v>
      </c>
      <c r="P112">
        <v>31.5837</v>
      </c>
      <c r="Q112" s="1">
        <v>1.42E-21</v>
      </c>
      <c r="R112">
        <v>0.66820000000000002</v>
      </c>
      <c r="S112">
        <v>0.72989999999999999</v>
      </c>
      <c r="T112">
        <v>0.16159999999999999</v>
      </c>
      <c r="U112">
        <v>0.31630000000000003</v>
      </c>
      <c r="V112">
        <v>1225.1126999999999</v>
      </c>
      <c r="W112">
        <v>2167.4575</v>
      </c>
      <c r="X112">
        <v>-9.0815999999999999</v>
      </c>
      <c r="Y112">
        <v>775.67809999999997</v>
      </c>
      <c r="Z112">
        <v>18.274799999999999</v>
      </c>
      <c r="AA112" s="1">
        <v>1.14E-37</v>
      </c>
      <c r="AB112">
        <v>0.24679999999999999</v>
      </c>
      <c r="AC112">
        <v>5.1000000000000004E-3</v>
      </c>
      <c r="AD112">
        <v>5.8500000000000003E-2</v>
      </c>
      <c r="AE112">
        <v>0.37230000000000002</v>
      </c>
      <c r="AF112">
        <v>1218.4548</v>
      </c>
      <c r="AG112">
        <f t="shared" si="4"/>
        <v>0.37230000000000002</v>
      </c>
      <c r="AH112" t="str">
        <f t="shared" si="5"/>
        <v>Mar 2021</v>
      </c>
      <c r="AI112">
        <f t="shared" si="6"/>
        <v>1218.4548</v>
      </c>
      <c r="AJ112" t="str">
        <f t="shared" si="7"/>
        <v>Mar 2021</v>
      </c>
    </row>
    <row r="113" spans="1:36" x14ac:dyDescent="0.2">
      <c r="A113">
        <v>95922</v>
      </c>
      <c r="B113" t="s">
        <v>110</v>
      </c>
      <c r="C113">
        <v>104.40089999999999</v>
      </c>
      <c r="D113">
        <v>13.8485</v>
      </c>
      <c r="E113">
        <v>-34.104900000000001</v>
      </c>
      <c r="F113">
        <v>-25.601299999999998</v>
      </c>
      <c r="G113">
        <v>6.3E-3</v>
      </c>
      <c r="H113" s="1">
        <v>2.7700000000000001E-14</v>
      </c>
      <c r="I113">
        <v>0.56930000000000003</v>
      </c>
      <c r="J113" s="1">
        <v>1.6699999999999999E-26</v>
      </c>
      <c r="K113">
        <v>0.6341</v>
      </c>
      <c r="L113">
        <v>972.07180000000005</v>
      </c>
      <c r="M113">
        <v>123.2414</v>
      </c>
      <c r="N113">
        <v>12.0517</v>
      </c>
      <c r="O113">
        <v>165.28479999999999</v>
      </c>
      <c r="P113">
        <v>-23.447399999999998</v>
      </c>
      <c r="Q113">
        <v>5.9999999999999995E-4</v>
      </c>
      <c r="R113" s="1">
        <v>1.7600000000000001E-6</v>
      </c>
      <c r="S113">
        <v>1.04E-2</v>
      </c>
      <c r="T113" s="1">
        <v>2.6500000000000002E-16</v>
      </c>
      <c r="U113">
        <v>0.62470000000000003</v>
      </c>
      <c r="V113">
        <v>974.04840000000002</v>
      </c>
      <c r="W113">
        <v>122.166</v>
      </c>
      <c r="X113">
        <v>12.349500000000001</v>
      </c>
      <c r="Y113">
        <v>-22.962599999999998</v>
      </c>
      <c r="Z113">
        <v>-25.019500000000001</v>
      </c>
      <c r="AA113">
        <v>1.1999999999999999E-3</v>
      </c>
      <c r="AB113" s="1">
        <v>4.5499999999999998E-11</v>
      </c>
      <c r="AC113">
        <v>0.70979999999999999</v>
      </c>
      <c r="AD113" s="1">
        <v>1.4099999999999999E-22</v>
      </c>
      <c r="AE113">
        <v>0.624</v>
      </c>
      <c r="AF113">
        <v>974.1789</v>
      </c>
      <c r="AG113">
        <f t="shared" si="4"/>
        <v>0.6341</v>
      </c>
      <c r="AH113" t="str">
        <f t="shared" si="5"/>
        <v>Jan 2021</v>
      </c>
      <c r="AI113">
        <f t="shared" si="6"/>
        <v>972.07180000000005</v>
      </c>
      <c r="AJ113" t="str">
        <f t="shared" si="7"/>
        <v>Jan 2021</v>
      </c>
    </row>
    <row r="114" spans="1:36" x14ac:dyDescent="0.2">
      <c r="A114">
        <v>95923</v>
      </c>
      <c r="B114" t="s">
        <v>111</v>
      </c>
      <c r="C114">
        <v>4782.6005999999998</v>
      </c>
      <c r="D114">
        <v>-58.207299999999996</v>
      </c>
      <c r="E114">
        <v>1483.2415000000001</v>
      </c>
      <c r="F114">
        <v>48.1203</v>
      </c>
      <c r="G114" s="1">
        <v>6.7199999999999997E-97</v>
      </c>
      <c r="H114" s="1">
        <v>3.9799999999999998E-5</v>
      </c>
      <c r="I114">
        <v>1E-4</v>
      </c>
      <c r="J114">
        <v>2.2000000000000001E-3</v>
      </c>
      <c r="K114">
        <v>0.31990000000000002</v>
      </c>
      <c r="L114">
        <v>1246.5346</v>
      </c>
      <c r="M114">
        <v>5049.1310000000003</v>
      </c>
      <c r="N114">
        <v>-84.501999999999995</v>
      </c>
      <c r="O114">
        <v>1143.2864</v>
      </c>
      <c r="P114">
        <v>88.082599999999999</v>
      </c>
      <c r="Q114" s="1">
        <v>1.62E-80</v>
      </c>
      <c r="R114">
        <v>2.0000000000000001E-4</v>
      </c>
      <c r="S114">
        <v>1.4500000000000001E-2</v>
      </c>
      <c r="T114">
        <v>2.9999999999999997E-4</v>
      </c>
      <c r="U114">
        <v>0.31319999999999998</v>
      </c>
      <c r="V114">
        <v>1247.3000999999999</v>
      </c>
      <c r="W114">
        <v>4695.8946999999998</v>
      </c>
      <c r="X114">
        <v>-50.859200000000001</v>
      </c>
      <c r="Y114">
        <v>1524.9755</v>
      </c>
      <c r="Z114">
        <v>35.9101</v>
      </c>
      <c r="AA114" s="1">
        <v>4.8899999999999997E-95</v>
      </c>
      <c r="AB114" s="1">
        <v>5.9899999999999999E-5</v>
      </c>
      <c r="AC114" s="1">
        <v>3.3399999999999999E-5</v>
      </c>
      <c r="AD114">
        <v>1.4800000000000001E-2</v>
      </c>
      <c r="AE114">
        <v>0.30990000000000001</v>
      </c>
      <c r="AF114">
        <v>1247.6711</v>
      </c>
      <c r="AG114">
        <f t="shared" si="4"/>
        <v>0.31990000000000002</v>
      </c>
      <c r="AH114" t="str">
        <f t="shared" si="5"/>
        <v>Jan 2021</v>
      </c>
      <c r="AI114">
        <f t="shared" si="6"/>
        <v>1246.5346</v>
      </c>
      <c r="AJ114" t="str">
        <f t="shared" si="7"/>
        <v>Jan 2021</v>
      </c>
    </row>
    <row r="115" spans="1:36" x14ac:dyDescent="0.2">
      <c r="A115">
        <v>95924</v>
      </c>
      <c r="B115" t="s">
        <v>112</v>
      </c>
      <c r="C115">
        <v>785.61260000000004</v>
      </c>
      <c r="D115">
        <v>-5.3540999999999999</v>
      </c>
      <c r="E115">
        <v>16.796700000000001</v>
      </c>
      <c r="F115">
        <v>10.263500000000001</v>
      </c>
      <c r="G115" s="1">
        <v>1.2799999999999999E-32</v>
      </c>
      <c r="H115">
        <v>6.8699999999999997E-2</v>
      </c>
      <c r="I115">
        <v>0.79649999999999999</v>
      </c>
      <c r="J115">
        <v>2.2000000000000001E-3</v>
      </c>
      <c r="K115">
        <v>0.1545</v>
      </c>
      <c r="L115">
        <v>1008.7196</v>
      </c>
      <c r="M115">
        <v>817.3655</v>
      </c>
      <c r="N115">
        <v>-8.3364999999999991</v>
      </c>
      <c r="O115">
        <v>24.014399999999998</v>
      </c>
      <c r="P115">
        <v>12.4703</v>
      </c>
      <c r="Q115" s="1">
        <v>5.2699999999999996E-29</v>
      </c>
      <c r="R115">
        <v>4.7199999999999999E-2</v>
      </c>
      <c r="S115">
        <v>0.73119999999999996</v>
      </c>
      <c r="T115">
        <v>4.1000000000000003E-3</v>
      </c>
      <c r="U115">
        <v>0.1739</v>
      </c>
      <c r="V115">
        <v>1006.9114</v>
      </c>
      <c r="W115">
        <v>776.74090000000001</v>
      </c>
      <c r="X115">
        <v>-4.5991</v>
      </c>
      <c r="Y115">
        <v>4.4366000000000003</v>
      </c>
      <c r="Z115">
        <v>10.0253</v>
      </c>
      <c r="AA115" s="1">
        <v>1.0800000000000001E-33</v>
      </c>
      <c r="AB115">
        <v>8.48E-2</v>
      </c>
      <c r="AC115">
        <v>0.94569999999999999</v>
      </c>
      <c r="AD115">
        <v>1.8E-3</v>
      </c>
      <c r="AE115">
        <v>0.1522</v>
      </c>
      <c r="AF115">
        <v>1008.9354</v>
      </c>
      <c r="AG115">
        <f t="shared" si="4"/>
        <v>0.1739</v>
      </c>
      <c r="AH115" t="str">
        <f t="shared" si="5"/>
        <v>Jun 2020</v>
      </c>
      <c r="AI115">
        <f t="shared" si="6"/>
        <v>1006.9114</v>
      </c>
      <c r="AJ115" t="str">
        <f t="shared" si="7"/>
        <v>Jun 2020</v>
      </c>
    </row>
    <row r="116" spans="1:36" x14ac:dyDescent="0.2">
      <c r="A116">
        <v>95943</v>
      </c>
      <c r="B116" t="s">
        <v>113</v>
      </c>
      <c r="C116">
        <v>1109.6141</v>
      </c>
      <c r="D116">
        <v>-23.179500000000001</v>
      </c>
      <c r="E116">
        <v>248.334</v>
      </c>
      <c r="F116">
        <v>5.5894000000000004</v>
      </c>
      <c r="G116" s="1">
        <v>1.2E-121</v>
      </c>
      <c r="H116" s="1">
        <v>2.2299999999999999E-19</v>
      </c>
      <c r="I116">
        <v>1.38E-2</v>
      </c>
      <c r="J116">
        <v>0.14849999999999999</v>
      </c>
      <c r="K116">
        <v>0.83279999999999998</v>
      </c>
      <c r="L116">
        <v>1027.4086</v>
      </c>
      <c r="M116">
        <v>1174.9793</v>
      </c>
      <c r="N116">
        <v>-29.525600000000001</v>
      </c>
      <c r="O116">
        <v>250.79150000000001</v>
      </c>
      <c r="P116">
        <v>13.9978</v>
      </c>
      <c r="Q116" s="1">
        <v>1.67E-164</v>
      </c>
      <c r="R116" s="1">
        <v>1.4800000000000001E-22</v>
      </c>
      <c r="S116">
        <v>2.7000000000000001E-3</v>
      </c>
      <c r="T116" s="1">
        <v>8.4400000000000005E-5</v>
      </c>
      <c r="U116">
        <v>0.84179999999999999</v>
      </c>
      <c r="V116">
        <v>1023.0808</v>
      </c>
      <c r="W116">
        <v>1084.2308</v>
      </c>
      <c r="X116">
        <v>-21.0352</v>
      </c>
      <c r="Y116">
        <v>202.53440000000001</v>
      </c>
      <c r="Z116">
        <v>3.5566</v>
      </c>
      <c r="AA116" s="1">
        <v>7.9000000000000004E-100</v>
      </c>
      <c r="AB116" s="1">
        <v>2.6599999999999998E-15</v>
      </c>
      <c r="AC116">
        <v>6.5100000000000005E-2</v>
      </c>
      <c r="AD116">
        <v>0.42820000000000003</v>
      </c>
      <c r="AE116">
        <v>0.82240000000000002</v>
      </c>
      <c r="AF116">
        <v>1032.0766000000001</v>
      </c>
      <c r="AG116">
        <f t="shared" si="4"/>
        <v>0.84179999999999999</v>
      </c>
      <c r="AH116" t="str">
        <f t="shared" si="5"/>
        <v>Jun 2020</v>
      </c>
      <c r="AI116">
        <f t="shared" si="6"/>
        <v>1023.0808</v>
      </c>
      <c r="AJ116" t="str">
        <f t="shared" si="7"/>
        <v>Jun 2020</v>
      </c>
    </row>
    <row r="117" spans="1:36" x14ac:dyDescent="0.2">
      <c r="A117">
        <v>95992</v>
      </c>
      <c r="B117" t="s">
        <v>114</v>
      </c>
      <c r="C117">
        <v>60.169699999999999</v>
      </c>
      <c r="D117">
        <v>-0.3891</v>
      </c>
      <c r="E117">
        <v>58.881799999999998</v>
      </c>
      <c r="F117">
        <v>2.391</v>
      </c>
      <c r="G117" s="1">
        <v>3.4499999999999998E-5</v>
      </c>
      <c r="H117">
        <v>0.57979999999999998</v>
      </c>
      <c r="I117">
        <v>3.2899999999999999E-2</v>
      </c>
      <c r="J117">
        <v>5.6800000000000003E-2</v>
      </c>
      <c r="K117">
        <v>0.44729999999999998</v>
      </c>
      <c r="L117">
        <v>867.79420000000005</v>
      </c>
      <c r="M117">
        <v>57.917200000000001</v>
      </c>
      <c r="N117">
        <v>-0.1542</v>
      </c>
      <c r="O117">
        <v>8.8285999999999998</v>
      </c>
      <c r="P117">
        <v>2.9958</v>
      </c>
      <c r="Q117">
        <v>1.4E-3</v>
      </c>
      <c r="R117">
        <v>0.90280000000000005</v>
      </c>
      <c r="S117">
        <v>0.76429999999999998</v>
      </c>
      <c r="T117">
        <v>4.9500000000000002E-2</v>
      </c>
      <c r="U117">
        <v>0.42170000000000002</v>
      </c>
      <c r="V117">
        <v>871.32709999999997</v>
      </c>
      <c r="W117">
        <v>55.914999999999999</v>
      </c>
      <c r="X117">
        <v>-3.3799999999999997E-2</v>
      </c>
      <c r="Y117">
        <v>58.816800000000001</v>
      </c>
      <c r="Z117">
        <v>1.8835</v>
      </c>
      <c r="AA117">
        <v>2.0000000000000001E-4</v>
      </c>
      <c r="AB117">
        <v>0.96130000000000004</v>
      </c>
      <c r="AC117">
        <v>2.7199999999999998E-2</v>
      </c>
      <c r="AD117">
        <v>0.17810000000000001</v>
      </c>
      <c r="AE117">
        <v>0.44190000000000002</v>
      </c>
      <c r="AF117">
        <v>868.55769999999995</v>
      </c>
      <c r="AG117">
        <f t="shared" si="4"/>
        <v>0.44729999999999998</v>
      </c>
      <c r="AH117" t="str">
        <f t="shared" si="5"/>
        <v>Jan 2021</v>
      </c>
      <c r="AI117">
        <f t="shared" si="6"/>
        <v>867.79420000000005</v>
      </c>
      <c r="AJ117" t="str">
        <f t="shared" si="7"/>
        <v>Jan 2021</v>
      </c>
    </row>
    <row r="118" spans="1:36" x14ac:dyDescent="0.2">
      <c r="A118">
        <v>96110</v>
      </c>
      <c r="B118" t="s">
        <v>115</v>
      </c>
      <c r="C118">
        <v>249805.7162</v>
      </c>
      <c r="D118">
        <v>1853.8067000000001</v>
      </c>
      <c r="E118">
        <v>97939.754499999995</v>
      </c>
      <c r="F118">
        <v>-1576.4862000000001</v>
      </c>
      <c r="G118" s="1">
        <v>2.52E-148</v>
      </c>
      <c r="H118">
        <v>1.3599999999999999E-2</v>
      </c>
      <c r="I118" s="1">
        <v>7.1600000000000006E-5</v>
      </c>
      <c r="J118">
        <v>9.5100000000000004E-2</v>
      </c>
      <c r="K118">
        <v>0.69240000000000002</v>
      </c>
      <c r="L118">
        <v>1914.2029</v>
      </c>
      <c r="M118">
        <v>267412.82760000002</v>
      </c>
      <c r="N118">
        <v>116.3867</v>
      </c>
      <c r="O118">
        <v>101092.3397</v>
      </c>
      <c r="P118">
        <v>1290.2003999999999</v>
      </c>
      <c r="Q118" s="1">
        <v>4.6399999999999997E-89</v>
      </c>
      <c r="R118">
        <v>0.92779999999999996</v>
      </c>
      <c r="S118">
        <v>5.9999999999999995E-4</v>
      </c>
      <c r="T118">
        <v>0.3609</v>
      </c>
      <c r="U118">
        <v>0.67689999999999995</v>
      </c>
      <c r="V118">
        <v>1918.0442</v>
      </c>
      <c r="W118">
        <v>245570.40489999999</v>
      </c>
      <c r="X118">
        <v>2214.5187000000001</v>
      </c>
      <c r="Y118">
        <v>96024.320200000002</v>
      </c>
      <c r="Z118">
        <v>-2321.8706000000002</v>
      </c>
      <c r="AA118" s="1">
        <v>4.0600000000000003E-152</v>
      </c>
      <c r="AB118">
        <v>6.9999999999999999E-4</v>
      </c>
      <c r="AC118" s="1">
        <v>4.4299999999999999E-5</v>
      </c>
      <c r="AD118">
        <v>1.0500000000000001E-2</v>
      </c>
      <c r="AE118">
        <v>0.69679999999999997</v>
      </c>
      <c r="AF118">
        <v>1913.0904</v>
      </c>
      <c r="AG118">
        <f t="shared" si="4"/>
        <v>0.69679999999999997</v>
      </c>
      <c r="AH118" t="str">
        <f t="shared" si="5"/>
        <v>Mar 2021</v>
      </c>
      <c r="AI118">
        <f t="shared" si="6"/>
        <v>1913.0904</v>
      </c>
      <c r="AJ118" t="str">
        <f t="shared" si="7"/>
        <v>Mar 2021</v>
      </c>
    </row>
    <row r="119" spans="1:36" x14ac:dyDescent="0.2">
      <c r="A119">
        <v>96111</v>
      </c>
      <c r="B119" t="s">
        <v>116</v>
      </c>
      <c r="C119">
        <v>8726.1607000000004</v>
      </c>
      <c r="D119">
        <v>-332.92189999999999</v>
      </c>
      <c r="E119">
        <v>2941.3663999999999</v>
      </c>
      <c r="F119">
        <v>333.79680000000002</v>
      </c>
      <c r="G119" s="1">
        <v>8.0800000000000001E-18</v>
      </c>
      <c r="H119" s="1">
        <v>6.1300000000000001E-14</v>
      </c>
      <c r="I119">
        <v>5.0000000000000001E-4</v>
      </c>
      <c r="J119" s="1">
        <v>5.28E-14</v>
      </c>
      <c r="K119">
        <v>0.75960000000000005</v>
      </c>
      <c r="L119">
        <v>1384.4531999999999</v>
      </c>
      <c r="M119">
        <v>10009.972400000001</v>
      </c>
      <c r="N119">
        <v>-458.11130000000003</v>
      </c>
      <c r="O119">
        <v>2827.3692999999998</v>
      </c>
      <c r="P119">
        <v>458.95620000000002</v>
      </c>
      <c r="Q119" s="1">
        <v>1.3100000000000001E-36</v>
      </c>
      <c r="R119" s="1">
        <v>2.8200000000000002E-21</v>
      </c>
      <c r="S119">
        <v>1.5E-3</v>
      </c>
      <c r="T119" s="1">
        <v>2.4200000000000001E-21</v>
      </c>
      <c r="U119">
        <v>0.84689999999999999</v>
      </c>
      <c r="V119">
        <v>1349.2792999999999</v>
      </c>
      <c r="W119">
        <v>8405.8016000000007</v>
      </c>
      <c r="X119">
        <v>-305.83710000000002</v>
      </c>
      <c r="Y119">
        <v>2928.9623000000001</v>
      </c>
      <c r="Z119">
        <v>306.64600000000002</v>
      </c>
      <c r="AA119" s="1">
        <v>2.5800000000000001E-15</v>
      </c>
      <c r="AB119" s="1">
        <v>1.5399999999999999E-12</v>
      </c>
      <c r="AC119">
        <v>4.0000000000000002E-4</v>
      </c>
      <c r="AD119" s="1">
        <v>1.3399999999999999E-12</v>
      </c>
      <c r="AE119">
        <v>0.73509999999999998</v>
      </c>
      <c r="AF119">
        <v>1392.0272</v>
      </c>
      <c r="AG119">
        <f t="shared" si="4"/>
        <v>0.84689999999999999</v>
      </c>
      <c r="AH119" t="str">
        <f t="shared" si="5"/>
        <v>Jun 2020</v>
      </c>
      <c r="AI119">
        <f t="shared" si="6"/>
        <v>1349.2792999999999</v>
      </c>
      <c r="AJ119" t="str">
        <f t="shared" si="7"/>
        <v>Jun 2020</v>
      </c>
    </row>
    <row r="120" spans="1:36" x14ac:dyDescent="0.2">
      <c r="A120">
        <v>96112</v>
      </c>
      <c r="B120" t="s">
        <v>117</v>
      </c>
      <c r="C120">
        <v>6506.84</v>
      </c>
      <c r="D120">
        <v>114.17700000000001</v>
      </c>
      <c r="E120">
        <v>2470.8344999999999</v>
      </c>
      <c r="F120">
        <v>-52.471800000000002</v>
      </c>
      <c r="G120" s="1">
        <v>7.4499999999999998E-60</v>
      </c>
      <c r="H120">
        <v>3.7000000000000002E-3</v>
      </c>
      <c r="I120">
        <v>1.09E-2</v>
      </c>
      <c r="J120">
        <v>0.24249999999999999</v>
      </c>
      <c r="K120">
        <v>0.6885</v>
      </c>
      <c r="L120">
        <v>1188.3628000000001</v>
      </c>
      <c r="M120">
        <v>7079.0784000000003</v>
      </c>
      <c r="N120">
        <v>22.122499999999999</v>
      </c>
      <c r="O120">
        <v>2570.1035999999999</v>
      </c>
      <c r="P120">
        <v>73.589299999999994</v>
      </c>
      <c r="Q120" s="1">
        <v>1.7700000000000001E-20</v>
      </c>
      <c r="R120">
        <v>0.87629999999999997</v>
      </c>
      <c r="S120">
        <v>0.13350000000000001</v>
      </c>
      <c r="T120">
        <v>0.6109</v>
      </c>
      <c r="U120">
        <v>0.66649999999999998</v>
      </c>
      <c r="V120">
        <v>1192.8628000000001</v>
      </c>
      <c r="W120">
        <v>6433.1966000000002</v>
      </c>
      <c r="X120">
        <v>123.732</v>
      </c>
      <c r="Y120">
        <v>2579.6466</v>
      </c>
      <c r="Z120">
        <v>-76.131600000000006</v>
      </c>
      <c r="AA120" s="1">
        <v>5.1500000000000004E-56</v>
      </c>
      <c r="AB120" s="1">
        <v>3.0400000000000001E-6</v>
      </c>
      <c r="AC120">
        <v>1.6000000000000001E-3</v>
      </c>
      <c r="AD120">
        <v>2.8500000000000001E-2</v>
      </c>
      <c r="AE120">
        <v>0.69989999999999997</v>
      </c>
      <c r="AF120">
        <v>1185.8866</v>
      </c>
      <c r="AG120">
        <f t="shared" si="4"/>
        <v>0.69989999999999997</v>
      </c>
      <c r="AH120" t="str">
        <f t="shared" si="5"/>
        <v>Mar 2021</v>
      </c>
      <c r="AI120">
        <f t="shared" si="6"/>
        <v>1185.8866</v>
      </c>
      <c r="AJ120" t="str">
        <f t="shared" si="7"/>
        <v>Mar 2021</v>
      </c>
    </row>
    <row r="121" spans="1:36" x14ac:dyDescent="0.2">
      <c r="A121">
        <v>96113</v>
      </c>
      <c r="B121" t="s">
        <v>118</v>
      </c>
      <c r="C121">
        <v>1160.56</v>
      </c>
      <c r="D121">
        <v>16.407800000000002</v>
      </c>
      <c r="E121">
        <v>456.98099999999999</v>
      </c>
      <c r="F121">
        <v>14.663399999999999</v>
      </c>
      <c r="G121" s="1">
        <v>8.99E-23</v>
      </c>
      <c r="H121">
        <v>6.9199999999999998E-2</v>
      </c>
      <c r="I121">
        <v>1.9599999999999999E-2</v>
      </c>
      <c r="J121">
        <v>0.19350000000000001</v>
      </c>
      <c r="K121">
        <v>0.71709999999999996</v>
      </c>
      <c r="L121">
        <v>1007.9769</v>
      </c>
      <c r="M121">
        <v>1251.549</v>
      </c>
      <c r="N121">
        <v>0.80640000000000001</v>
      </c>
      <c r="O121">
        <v>344.04899999999998</v>
      </c>
      <c r="P121">
        <v>35.1312</v>
      </c>
      <c r="Q121" s="1">
        <v>1.62E-12</v>
      </c>
      <c r="R121">
        <v>0.97160000000000002</v>
      </c>
      <c r="S121">
        <v>0.1757</v>
      </c>
      <c r="T121">
        <v>0.13120000000000001</v>
      </c>
      <c r="U121">
        <v>0.71099999999999997</v>
      </c>
      <c r="V121">
        <v>1009.3996</v>
      </c>
      <c r="W121">
        <v>1147.0084999999999</v>
      </c>
      <c r="X121">
        <v>18.180900000000001</v>
      </c>
      <c r="Y121">
        <v>532.78549999999996</v>
      </c>
      <c r="Z121">
        <v>10.017200000000001</v>
      </c>
      <c r="AA121" s="1">
        <v>7.2199999999999998E-25</v>
      </c>
      <c r="AB121">
        <v>9.1999999999999998E-3</v>
      </c>
      <c r="AC121">
        <v>4.5999999999999999E-3</v>
      </c>
      <c r="AD121">
        <v>0.32129999999999997</v>
      </c>
      <c r="AE121">
        <v>0.72399999999999998</v>
      </c>
      <c r="AF121">
        <v>1006.361</v>
      </c>
      <c r="AG121">
        <f t="shared" si="4"/>
        <v>0.72399999999999998</v>
      </c>
      <c r="AH121" t="str">
        <f t="shared" si="5"/>
        <v>Mar 2021</v>
      </c>
      <c r="AI121">
        <f t="shared" si="6"/>
        <v>1006.361</v>
      </c>
      <c r="AJ121" t="str">
        <f t="shared" si="7"/>
        <v>Mar 2021</v>
      </c>
    </row>
    <row r="122" spans="1:36" x14ac:dyDescent="0.2">
      <c r="A122">
        <v>96116</v>
      </c>
      <c r="B122" t="s">
        <v>119</v>
      </c>
      <c r="C122">
        <v>1722.6366</v>
      </c>
      <c r="D122">
        <v>11.843</v>
      </c>
      <c r="E122">
        <v>607.41869999999994</v>
      </c>
      <c r="F122">
        <v>5.5716999999999999</v>
      </c>
      <c r="G122" s="1">
        <v>3.5399999999999999E-38</v>
      </c>
      <c r="H122">
        <v>0.1421</v>
      </c>
      <c r="I122">
        <v>1.2800000000000001E-2</v>
      </c>
      <c r="J122">
        <v>0.55520000000000003</v>
      </c>
      <c r="K122">
        <v>0.63449999999999995</v>
      </c>
      <c r="L122">
        <v>1198.3788</v>
      </c>
      <c r="M122">
        <v>1759.7240999999999</v>
      </c>
      <c r="N122">
        <v>9.0493000000000006</v>
      </c>
      <c r="O122">
        <v>296.62360000000001</v>
      </c>
      <c r="P122">
        <v>17.555099999999999</v>
      </c>
      <c r="Q122" s="1">
        <v>3.0200000000000001E-30</v>
      </c>
      <c r="R122">
        <v>0.50560000000000005</v>
      </c>
      <c r="S122">
        <v>0.32429999999999998</v>
      </c>
      <c r="T122">
        <v>0.23930000000000001</v>
      </c>
      <c r="U122">
        <v>0.61029999999999995</v>
      </c>
      <c r="V122">
        <v>1203.3898999999999</v>
      </c>
      <c r="W122">
        <v>1667.1903</v>
      </c>
      <c r="X122">
        <v>16.5502</v>
      </c>
      <c r="Y122">
        <v>502.43810000000002</v>
      </c>
      <c r="Z122">
        <v>0.77380000000000004</v>
      </c>
      <c r="AA122" s="1">
        <v>1.0699999999999999E-33</v>
      </c>
      <c r="AB122">
        <v>3.0800000000000001E-2</v>
      </c>
      <c r="AC122">
        <v>4.6100000000000002E-2</v>
      </c>
      <c r="AD122">
        <v>0.93669999999999998</v>
      </c>
      <c r="AE122">
        <v>0.62209999999999999</v>
      </c>
      <c r="AF122">
        <v>1200.9748</v>
      </c>
      <c r="AG122">
        <f t="shared" si="4"/>
        <v>0.63449999999999995</v>
      </c>
      <c r="AH122" t="str">
        <f t="shared" si="5"/>
        <v>Jan 2021</v>
      </c>
      <c r="AI122">
        <f t="shared" si="6"/>
        <v>1198.3788</v>
      </c>
      <c r="AJ122" t="str">
        <f t="shared" si="7"/>
        <v>Jan 2021</v>
      </c>
    </row>
    <row r="123" spans="1:36" x14ac:dyDescent="0.2">
      <c r="A123">
        <v>96121</v>
      </c>
      <c r="B123" t="s">
        <v>120</v>
      </c>
      <c r="C123">
        <v>529.33330000000001</v>
      </c>
      <c r="D123">
        <v>11.413</v>
      </c>
      <c r="E123">
        <v>-77.141099999999994</v>
      </c>
      <c r="F123">
        <v>-15.9048</v>
      </c>
      <c r="G123">
        <v>1E-3</v>
      </c>
      <c r="H123">
        <v>0.2195</v>
      </c>
      <c r="I123">
        <v>0.38719999999999999</v>
      </c>
      <c r="J123">
        <v>9.1999999999999998E-2</v>
      </c>
      <c r="K123">
        <v>0.11899999999999999</v>
      </c>
      <c r="L123">
        <v>892.43740000000003</v>
      </c>
      <c r="M123">
        <v>492.5686</v>
      </c>
      <c r="N123">
        <v>18.1127</v>
      </c>
      <c r="O123">
        <v>-45.091900000000003</v>
      </c>
      <c r="P123">
        <v>-22.315799999999999</v>
      </c>
      <c r="Q123">
        <v>6.7000000000000002E-3</v>
      </c>
      <c r="R123">
        <v>0.31759999999999999</v>
      </c>
      <c r="S123">
        <v>0.78800000000000003</v>
      </c>
      <c r="T123">
        <v>0.22090000000000001</v>
      </c>
      <c r="U123">
        <v>0.1212</v>
      </c>
      <c r="V123">
        <v>892.2749</v>
      </c>
      <c r="W123">
        <v>538.75210000000004</v>
      </c>
      <c r="X123">
        <v>10.213699999999999</v>
      </c>
      <c r="Y123">
        <v>-94.451700000000002</v>
      </c>
      <c r="Z123">
        <v>-14.479200000000001</v>
      </c>
      <c r="AA123">
        <v>5.9999999999999995E-4</v>
      </c>
      <c r="AB123">
        <v>0.21609999999999999</v>
      </c>
      <c r="AC123">
        <v>0.25059999999999999</v>
      </c>
      <c r="AD123">
        <v>8.72E-2</v>
      </c>
      <c r="AE123">
        <v>0.1166</v>
      </c>
      <c r="AF123">
        <v>892.61320000000001</v>
      </c>
      <c r="AG123">
        <f t="shared" si="4"/>
        <v>0.1212</v>
      </c>
      <c r="AH123" t="str">
        <f t="shared" si="5"/>
        <v>Jun 2020</v>
      </c>
      <c r="AI123">
        <f t="shared" si="6"/>
        <v>892.2749</v>
      </c>
      <c r="AJ123" t="str">
        <f t="shared" si="7"/>
        <v>Jun 2020</v>
      </c>
    </row>
    <row r="124" spans="1:36" x14ac:dyDescent="0.2">
      <c r="A124">
        <v>96125</v>
      </c>
      <c r="B124" t="s">
        <v>121</v>
      </c>
      <c r="C124">
        <v>432.87689999999998</v>
      </c>
      <c r="D124">
        <v>-10.2342</v>
      </c>
      <c r="E124">
        <v>130.31549999999999</v>
      </c>
      <c r="F124">
        <v>12.451599999999999</v>
      </c>
      <c r="G124" s="1">
        <v>2.11E-16</v>
      </c>
      <c r="H124" s="1">
        <v>4.3699999999999997E-6</v>
      </c>
      <c r="I124">
        <v>8.6999999999999994E-3</v>
      </c>
      <c r="J124" s="1">
        <v>7.3200000000000002E-6</v>
      </c>
      <c r="K124">
        <v>0.25850000000000001</v>
      </c>
      <c r="L124">
        <v>994.25789999999995</v>
      </c>
      <c r="M124">
        <v>461.06209999999999</v>
      </c>
      <c r="N124">
        <v>-12.967499999999999</v>
      </c>
      <c r="O124">
        <v>65.144900000000007</v>
      </c>
      <c r="P124">
        <v>15.9465</v>
      </c>
      <c r="Q124" s="1">
        <v>1.1999999999999999E-14</v>
      </c>
      <c r="R124" s="1">
        <v>2.1699999999999999E-5</v>
      </c>
      <c r="S124">
        <v>0.1341</v>
      </c>
      <c r="T124" s="1">
        <v>1.5600000000000001E-6</v>
      </c>
      <c r="U124">
        <v>0.27210000000000001</v>
      </c>
      <c r="V124">
        <v>992.81010000000003</v>
      </c>
      <c r="W124">
        <v>425.28739999999999</v>
      </c>
      <c r="X124">
        <v>-9.5860000000000003</v>
      </c>
      <c r="Y124">
        <v>152.42349999999999</v>
      </c>
      <c r="Z124">
        <v>11.299099999999999</v>
      </c>
      <c r="AA124" s="1">
        <v>7.0399999999999995E-17</v>
      </c>
      <c r="AB124" s="1">
        <v>2.2299999999999998E-6</v>
      </c>
      <c r="AC124">
        <v>3.2000000000000002E-3</v>
      </c>
      <c r="AD124" s="1">
        <v>2.9099999999999999E-5</v>
      </c>
      <c r="AE124">
        <v>0.2586</v>
      </c>
      <c r="AF124">
        <v>994.23990000000003</v>
      </c>
      <c r="AG124">
        <f t="shared" si="4"/>
        <v>0.27210000000000001</v>
      </c>
      <c r="AH124" t="str">
        <f t="shared" si="5"/>
        <v>Jun 2020</v>
      </c>
      <c r="AI124">
        <f t="shared" si="6"/>
        <v>992.81010000000003</v>
      </c>
      <c r="AJ124" t="str">
        <f t="shared" si="7"/>
        <v>Jun 2020</v>
      </c>
    </row>
    <row r="125" spans="1:36" x14ac:dyDescent="0.2">
      <c r="A125">
        <v>96127</v>
      </c>
      <c r="B125" t="s">
        <v>122</v>
      </c>
      <c r="C125">
        <v>156133.4369</v>
      </c>
      <c r="D125">
        <v>4484.9606999999996</v>
      </c>
      <c r="E125">
        <v>35775.416599999997</v>
      </c>
      <c r="F125">
        <v>-161.4194</v>
      </c>
      <c r="G125" s="1">
        <v>9.5799999999999995E-45</v>
      </c>
      <c r="H125" s="1">
        <v>4.4299999999999999E-6</v>
      </c>
      <c r="I125">
        <v>0.28470000000000001</v>
      </c>
      <c r="J125">
        <v>0.9002</v>
      </c>
      <c r="K125">
        <v>0.78180000000000005</v>
      </c>
      <c r="L125">
        <v>1956.6134</v>
      </c>
      <c r="M125">
        <v>169681.63449999999</v>
      </c>
      <c r="N125">
        <v>3121.9005000000002</v>
      </c>
      <c r="O125">
        <v>54919.465499999998</v>
      </c>
      <c r="P125">
        <v>1389.6021000000001</v>
      </c>
      <c r="Q125" s="1">
        <v>8.1300000000000002E-22</v>
      </c>
      <c r="R125">
        <v>8.7900000000000006E-2</v>
      </c>
      <c r="S125">
        <v>0.1603</v>
      </c>
      <c r="T125">
        <v>0.47670000000000001</v>
      </c>
      <c r="U125">
        <v>0.78769999999999996</v>
      </c>
      <c r="V125">
        <v>1954.4982</v>
      </c>
      <c r="W125">
        <v>156946.5385</v>
      </c>
      <c r="X125">
        <v>4416.9353000000001</v>
      </c>
      <c r="Y125">
        <v>46439.5389</v>
      </c>
      <c r="Z125">
        <v>-438.92360000000002</v>
      </c>
      <c r="AA125" s="1">
        <v>1.31E-55</v>
      </c>
      <c r="AB125" s="1">
        <v>9.1999999999999997E-9</v>
      </c>
      <c r="AC125">
        <v>0.14480000000000001</v>
      </c>
      <c r="AD125">
        <v>0.71020000000000005</v>
      </c>
      <c r="AE125">
        <v>0.7853</v>
      </c>
      <c r="AF125">
        <v>1955.3542</v>
      </c>
      <c r="AG125">
        <f t="shared" si="4"/>
        <v>0.78769999999999996</v>
      </c>
      <c r="AH125" t="str">
        <f t="shared" si="5"/>
        <v>Jun 2020</v>
      </c>
      <c r="AI125">
        <f t="shared" si="6"/>
        <v>1954.4982</v>
      </c>
      <c r="AJ125" t="str">
        <f t="shared" si="7"/>
        <v>Jun 2020</v>
      </c>
    </row>
    <row r="126" spans="1:36" x14ac:dyDescent="0.2">
      <c r="A126">
        <v>96130</v>
      </c>
      <c r="B126" t="s">
        <v>123</v>
      </c>
      <c r="C126">
        <v>22469.7667</v>
      </c>
      <c r="D126">
        <v>-440.54129999999998</v>
      </c>
      <c r="E126">
        <v>7924.2605999999996</v>
      </c>
      <c r="F126">
        <v>671.71600000000001</v>
      </c>
      <c r="G126" s="1">
        <v>5.8999999999999996E-15</v>
      </c>
      <c r="H126">
        <v>4.8800000000000003E-2</v>
      </c>
      <c r="I126">
        <v>2.81E-2</v>
      </c>
      <c r="J126">
        <v>4.4000000000000003E-3</v>
      </c>
      <c r="K126">
        <v>0.42830000000000001</v>
      </c>
      <c r="L126">
        <v>1340.6107</v>
      </c>
      <c r="M126">
        <v>24625.176500000001</v>
      </c>
      <c r="N126">
        <v>-735.24260000000004</v>
      </c>
      <c r="O126">
        <v>2822.7595000000001</v>
      </c>
      <c r="P126">
        <v>1053.8290999999999</v>
      </c>
      <c r="Q126" s="1">
        <v>3.2800000000000001E-19</v>
      </c>
      <c r="R126">
        <v>7.0000000000000001E-3</v>
      </c>
      <c r="S126">
        <v>0.40839999999999999</v>
      </c>
      <c r="T126">
        <v>2.0000000000000001E-4</v>
      </c>
      <c r="U126">
        <v>0.43690000000000001</v>
      </c>
      <c r="V126">
        <v>1339.6052999999999</v>
      </c>
      <c r="W126">
        <v>21359.760699999999</v>
      </c>
      <c r="X126">
        <v>-298.57470000000001</v>
      </c>
      <c r="Y126">
        <v>6890.1530000000002</v>
      </c>
      <c r="Z126">
        <v>527.45659999999998</v>
      </c>
      <c r="AA126" s="1">
        <v>1.48E-13</v>
      </c>
      <c r="AB126">
        <v>0.13170000000000001</v>
      </c>
      <c r="AC126">
        <v>4.7199999999999999E-2</v>
      </c>
      <c r="AD126">
        <v>1.6199999999999999E-2</v>
      </c>
      <c r="AE126">
        <v>0.39710000000000001</v>
      </c>
      <c r="AF126">
        <v>1344.1114</v>
      </c>
      <c r="AG126">
        <f t="shared" si="4"/>
        <v>0.43690000000000001</v>
      </c>
      <c r="AH126" t="str">
        <f t="shared" si="5"/>
        <v>Jun 2020</v>
      </c>
      <c r="AI126">
        <f t="shared" si="6"/>
        <v>1339.6052999999999</v>
      </c>
      <c r="AJ126" t="str">
        <f t="shared" si="7"/>
        <v>Jun 2020</v>
      </c>
    </row>
    <row r="127" spans="1:36" x14ac:dyDescent="0.2">
      <c r="A127">
        <v>96131</v>
      </c>
      <c r="B127" t="s">
        <v>124</v>
      </c>
      <c r="C127">
        <v>7710.7566999999999</v>
      </c>
      <c r="D127">
        <v>-67.703500000000005</v>
      </c>
      <c r="E127">
        <v>3533.3978000000002</v>
      </c>
      <c r="F127">
        <v>197.33150000000001</v>
      </c>
      <c r="G127" s="1">
        <v>9.6800000000000007E-27</v>
      </c>
      <c r="H127">
        <v>0.33710000000000001</v>
      </c>
      <c r="I127">
        <v>7.4999999999999997E-3</v>
      </c>
      <c r="J127">
        <v>8.2000000000000007E-3</v>
      </c>
      <c r="K127">
        <v>0.71760000000000002</v>
      </c>
      <c r="L127">
        <v>1197.5407</v>
      </c>
      <c r="M127">
        <v>8450.2744999999995</v>
      </c>
      <c r="N127">
        <v>-168.4828</v>
      </c>
      <c r="O127">
        <v>1529.6321</v>
      </c>
      <c r="P127">
        <v>342.0446</v>
      </c>
      <c r="Q127" s="1">
        <v>1.1299999999999999E-32</v>
      </c>
      <c r="R127">
        <v>0.12130000000000001</v>
      </c>
      <c r="S127">
        <v>0.29459999999999997</v>
      </c>
      <c r="T127">
        <v>2.5999999999999999E-3</v>
      </c>
      <c r="U127">
        <v>0.70120000000000005</v>
      </c>
      <c r="V127">
        <v>1201.2818</v>
      </c>
      <c r="W127">
        <v>7335.9144999999999</v>
      </c>
      <c r="X127">
        <v>-19.617799999999999</v>
      </c>
      <c r="Y127">
        <v>3287.3222000000001</v>
      </c>
      <c r="Z127">
        <v>142.31209999999999</v>
      </c>
      <c r="AA127" s="1">
        <v>3.9999999999999997E-24</v>
      </c>
      <c r="AB127">
        <v>0.74250000000000005</v>
      </c>
      <c r="AC127">
        <v>7.9000000000000008E-3</v>
      </c>
      <c r="AD127">
        <v>3.61E-2</v>
      </c>
      <c r="AE127">
        <v>0.70450000000000002</v>
      </c>
      <c r="AF127">
        <v>1200.5336</v>
      </c>
      <c r="AG127">
        <f t="shared" si="4"/>
        <v>0.71760000000000002</v>
      </c>
      <c r="AH127" t="str">
        <f t="shared" si="5"/>
        <v>Jan 2021</v>
      </c>
      <c r="AI127">
        <f t="shared" si="6"/>
        <v>1197.5407</v>
      </c>
      <c r="AJ127" t="str">
        <f t="shared" si="7"/>
        <v>Jan 2021</v>
      </c>
    </row>
    <row r="128" spans="1:36" x14ac:dyDescent="0.2">
      <c r="A128">
        <v>96132</v>
      </c>
      <c r="B128" t="s">
        <v>125</v>
      </c>
      <c r="C128">
        <v>3461.5666999999999</v>
      </c>
      <c r="D128">
        <v>6.8348000000000004</v>
      </c>
      <c r="E128">
        <v>396.447</v>
      </c>
      <c r="F128">
        <v>113.09990000000001</v>
      </c>
      <c r="G128" s="1">
        <v>7.5700000000000003E-55</v>
      </c>
      <c r="H128">
        <v>0.66569999999999996</v>
      </c>
      <c r="I128">
        <v>0.18790000000000001</v>
      </c>
      <c r="J128" s="1">
        <v>7.9900000000000003E-11</v>
      </c>
      <c r="K128">
        <v>0.89539999999999997</v>
      </c>
      <c r="L128">
        <v>1056.8860999999999</v>
      </c>
      <c r="M128">
        <v>3554.7647000000002</v>
      </c>
      <c r="N128">
        <v>-7.5881999999999996</v>
      </c>
      <c r="O128">
        <v>-254.7611</v>
      </c>
      <c r="P128">
        <v>127.3874</v>
      </c>
      <c r="Q128" s="1">
        <v>3.5199999999999998E-28</v>
      </c>
      <c r="R128">
        <v>0.8679</v>
      </c>
      <c r="S128">
        <v>0.61760000000000004</v>
      </c>
      <c r="T128">
        <v>5.4999999999999997E-3</v>
      </c>
      <c r="U128">
        <v>0.89570000000000005</v>
      </c>
      <c r="V128">
        <v>1056.7322999999999</v>
      </c>
      <c r="W128">
        <v>3450.7350000000001</v>
      </c>
      <c r="X128">
        <v>8.2797000000000001</v>
      </c>
      <c r="Y128">
        <v>696.46199999999999</v>
      </c>
      <c r="Z128">
        <v>107.9721</v>
      </c>
      <c r="AA128" s="1">
        <v>9.6600000000000006E-59</v>
      </c>
      <c r="AB128">
        <v>0.49980000000000002</v>
      </c>
      <c r="AC128">
        <v>1.2800000000000001E-2</v>
      </c>
      <c r="AD128" s="1">
        <v>2.02E-13</v>
      </c>
      <c r="AE128">
        <v>0.89759999999999995</v>
      </c>
      <c r="AF128">
        <v>1055.4884</v>
      </c>
      <c r="AG128">
        <f t="shared" si="4"/>
        <v>0.89759999999999995</v>
      </c>
      <c r="AH128" t="str">
        <f t="shared" si="5"/>
        <v>Mar 2021</v>
      </c>
      <c r="AI128">
        <f t="shared" si="6"/>
        <v>1055.4884</v>
      </c>
      <c r="AJ128" t="str">
        <f t="shared" si="7"/>
        <v>Mar 2021</v>
      </c>
    </row>
    <row r="129" spans="1:36" x14ac:dyDescent="0.2">
      <c r="A129">
        <v>96133</v>
      </c>
      <c r="B129" t="s">
        <v>126</v>
      </c>
      <c r="C129">
        <v>2355.14</v>
      </c>
      <c r="D129">
        <v>-21.903500000000001</v>
      </c>
      <c r="E129">
        <v>85.810699999999997</v>
      </c>
      <c r="F129">
        <v>89.712800000000001</v>
      </c>
      <c r="G129" s="1">
        <v>1.57E-51</v>
      </c>
      <c r="H129">
        <v>4.24E-2</v>
      </c>
      <c r="I129">
        <v>0.69389999999999996</v>
      </c>
      <c r="J129" s="1">
        <v>1.1000000000000001E-11</v>
      </c>
      <c r="K129">
        <v>0.75319999999999998</v>
      </c>
      <c r="L129">
        <v>1029.4884999999999</v>
      </c>
      <c r="M129">
        <v>2408.1961000000001</v>
      </c>
      <c r="N129">
        <v>-29.752500000000001</v>
      </c>
      <c r="O129">
        <v>-359.16449999999998</v>
      </c>
      <c r="P129">
        <v>94.325000000000003</v>
      </c>
      <c r="Q129" s="1">
        <v>3.1700000000000002E-25</v>
      </c>
      <c r="R129">
        <v>0.34970000000000001</v>
      </c>
      <c r="S129">
        <v>0.30919999999999997</v>
      </c>
      <c r="T129">
        <v>3.3999999999999998E-3</v>
      </c>
      <c r="U129">
        <v>0.75139999999999996</v>
      </c>
      <c r="V129">
        <v>1029.9711</v>
      </c>
      <c r="W129">
        <v>2341.1966000000002</v>
      </c>
      <c r="X129">
        <v>-20.1203</v>
      </c>
      <c r="Y129">
        <v>258.11200000000002</v>
      </c>
      <c r="Z129">
        <v>87.055700000000002</v>
      </c>
      <c r="AA129" s="1">
        <v>8.7899999999999992E-56</v>
      </c>
      <c r="AB129">
        <v>1.83E-2</v>
      </c>
      <c r="AC129">
        <v>0.224</v>
      </c>
      <c r="AD129" s="1">
        <v>8.2200000000000003E-13</v>
      </c>
      <c r="AE129">
        <v>0.75349999999999995</v>
      </c>
      <c r="AF129">
        <v>1029.4271000000001</v>
      </c>
      <c r="AG129">
        <f t="shared" si="4"/>
        <v>0.75349999999999995</v>
      </c>
      <c r="AH129" t="str">
        <f t="shared" si="5"/>
        <v>Mar 2021</v>
      </c>
      <c r="AI129">
        <f t="shared" si="6"/>
        <v>1029.4271000000001</v>
      </c>
      <c r="AJ129" t="str">
        <f t="shared" si="7"/>
        <v>Mar 2021</v>
      </c>
    </row>
    <row r="130" spans="1:36" x14ac:dyDescent="0.2">
      <c r="A130">
        <v>96136</v>
      </c>
      <c r="B130" t="s">
        <v>127</v>
      </c>
      <c r="C130">
        <v>7971.95</v>
      </c>
      <c r="D130">
        <v>-11.3109</v>
      </c>
      <c r="E130">
        <v>2533.1419000000001</v>
      </c>
      <c r="F130">
        <v>179.05889999999999</v>
      </c>
      <c r="G130" s="1">
        <v>1.5700000000000001E-61</v>
      </c>
      <c r="H130">
        <v>0.78849999999999998</v>
      </c>
      <c r="I130">
        <v>4.1999999999999997E-3</v>
      </c>
      <c r="J130">
        <v>2.9999999999999997E-4</v>
      </c>
      <c r="K130">
        <v>0.79830000000000001</v>
      </c>
      <c r="L130">
        <v>1183.3005000000001</v>
      </c>
      <c r="M130">
        <v>8671.6077999999998</v>
      </c>
      <c r="N130">
        <v>-118.2745</v>
      </c>
      <c r="O130">
        <v>1436.7945</v>
      </c>
      <c r="P130">
        <v>310.97039999999998</v>
      </c>
      <c r="Q130" s="1">
        <v>9.6399999999999993E-35</v>
      </c>
      <c r="R130">
        <v>0.18360000000000001</v>
      </c>
      <c r="S130">
        <v>0.15260000000000001</v>
      </c>
      <c r="T130">
        <v>6.9999999999999999E-4</v>
      </c>
      <c r="U130">
        <v>0.79810000000000003</v>
      </c>
      <c r="V130">
        <v>1183.3617999999999</v>
      </c>
      <c r="W130">
        <v>7671.2222000000002</v>
      </c>
      <c r="X130">
        <v>27.219100000000001</v>
      </c>
      <c r="Y130">
        <v>2323.2530000000002</v>
      </c>
      <c r="Z130">
        <v>137.01599999999999</v>
      </c>
      <c r="AA130" s="1">
        <v>1.43E-54</v>
      </c>
      <c r="AB130">
        <v>0.49199999999999999</v>
      </c>
      <c r="AC130">
        <v>1.03E-2</v>
      </c>
      <c r="AD130">
        <v>7.6E-3</v>
      </c>
      <c r="AE130">
        <v>0.79</v>
      </c>
      <c r="AF130">
        <v>1185.9468999999999</v>
      </c>
      <c r="AG130">
        <f t="shared" si="4"/>
        <v>0.79830000000000001</v>
      </c>
      <c r="AH130" t="str">
        <f t="shared" si="5"/>
        <v>Jan 2021</v>
      </c>
      <c r="AI130">
        <f t="shared" si="6"/>
        <v>1183.3005000000001</v>
      </c>
      <c r="AJ130" t="str">
        <f t="shared" si="7"/>
        <v>Jan 2021</v>
      </c>
    </row>
    <row r="131" spans="1:36" x14ac:dyDescent="0.2">
      <c r="A131">
        <v>96137</v>
      </c>
      <c r="B131" t="s">
        <v>128</v>
      </c>
      <c r="C131">
        <v>5409.7433000000001</v>
      </c>
      <c r="D131">
        <v>-18.568300000000001</v>
      </c>
      <c r="E131">
        <v>2714.7784999999999</v>
      </c>
      <c r="F131">
        <v>111.25709999999999</v>
      </c>
      <c r="G131" s="1">
        <v>9.2599999999999997E-77</v>
      </c>
      <c r="H131">
        <v>0.54869999999999997</v>
      </c>
      <c r="I131" s="1">
        <v>1.49E-5</v>
      </c>
      <c r="J131">
        <v>1.2999999999999999E-3</v>
      </c>
      <c r="K131">
        <v>0.81789999999999996</v>
      </c>
      <c r="L131">
        <v>1129.0400999999999</v>
      </c>
      <c r="M131">
        <v>5923.8824000000004</v>
      </c>
      <c r="N131">
        <v>-95.786799999999999</v>
      </c>
      <c r="O131">
        <v>1536.114</v>
      </c>
      <c r="P131">
        <v>221.1566</v>
      </c>
      <c r="Q131" s="1">
        <v>2.5899999999999999E-48</v>
      </c>
      <c r="R131">
        <v>9.4500000000000001E-2</v>
      </c>
      <c r="S131">
        <v>3.8399999999999997E-2</v>
      </c>
      <c r="T131">
        <v>2.9999999999999997E-4</v>
      </c>
      <c r="U131">
        <v>0.79139999999999999</v>
      </c>
      <c r="V131">
        <v>1138.0042000000001</v>
      </c>
      <c r="W131">
        <v>5197.4786000000004</v>
      </c>
      <c r="X131">
        <v>8.7370999999999999</v>
      </c>
      <c r="Y131">
        <v>2720.1286</v>
      </c>
      <c r="Z131">
        <v>74.536799999999999</v>
      </c>
      <c r="AA131" s="1">
        <v>2.6699999999999998E-66</v>
      </c>
      <c r="AB131">
        <v>0.75370000000000004</v>
      </c>
      <c r="AC131" s="1">
        <v>4.0899999999999998E-6</v>
      </c>
      <c r="AD131">
        <v>2.46E-2</v>
      </c>
      <c r="AE131">
        <v>0.81679999999999997</v>
      </c>
      <c r="AF131">
        <v>1129.4562000000001</v>
      </c>
      <c r="AG131">
        <f t="shared" ref="AG131:AG134" si="8">MAX(K131,U131,AE131)</f>
        <v>0.81789999999999996</v>
      </c>
      <c r="AH131" t="str">
        <f t="shared" ref="AH131:AH134" si="9">IF(AG131=K131,"Jan 2021", IF(AG131=U131,"Jun 2020", IF(AG131=AE131,"Mar 2021")))</f>
        <v>Jan 2021</v>
      </c>
      <c r="AI131">
        <f t="shared" ref="AI131:AI134" si="10">MIN(L131,V131,AF131)</f>
        <v>1129.0400999999999</v>
      </c>
      <c r="AJ131" t="str">
        <f t="shared" ref="AJ131:AJ134" si="11">IF(AI131=L131,"Jan 2021", IF(AI131=V131,"Jun 2020", IF(AI131=AF131,"Mar 2021")))</f>
        <v>Jan 2021</v>
      </c>
    </row>
    <row r="132" spans="1:36" x14ac:dyDescent="0.2">
      <c r="A132">
        <v>96138</v>
      </c>
      <c r="B132" t="s">
        <v>129</v>
      </c>
      <c r="C132">
        <v>6446.0232999999998</v>
      </c>
      <c r="D132">
        <v>49.4726</v>
      </c>
      <c r="E132">
        <v>-1081.6633999999999</v>
      </c>
      <c r="F132">
        <v>54.2044</v>
      </c>
      <c r="G132" s="1">
        <v>1.42E-60</v>
      </c>
      <c r="H132">
        <v>8.2600000000000007E-2</v>
      </c>
      <c r="I132">
        <v>9.1999999999999998E-3</v>
      </c>
      <c r="J132">
        <v>7.0900000000000005E-2</v>
      </c>
      <c r="K132">
        <v>0.71409999999999996</v>
      </c>
      <c r="L132">
        <v>1091.6171999999999</v>
      </c>
      <c r="M132">
        <v>5995.5685999999996</v>
      </c>
      <c r="N132">
        <v>118.2745</v>
      </c>
      <c r="O132">
        <v>-1569.3664000000001</v>
      </c>
      <c r="P132">
        <v>-30.558700000000002</v>
      </c>
      <c r="Q132" s="1">
        <v>2.7399999999999999E-64</v>
      </c>
      <c r="R132">
        <v>5.3E-3</v>
      </c>
      <c r="S132">
        <v>4.7999999999999996E-3</v>
      </c>
      <c r="T132">
        <v>0.46989999999999998</v>
      </c>
      <c r="U132">
        <v>0.70209999999999995</v>
      </c>
      <c r="V132">
        <v>1094.3371999999999</v>
      </c>
      <c r="W132">
        <v>6632.5555999999997</v>
      </c>
      <c r="X132">
        <v>25.8325</v>
      </c>
      <c r="Y132">
        <v>-483.04829999999998</v>
      </c>
      <c r="Z132">
        <v>74.677599999999998</v>
      </c>
      <c r="AA132" s="1">
        <v>4.6800000000000002E-55</v>
      </c>
      <c r="AB132">
        <v>0.36230000000000001</v>
      </c>
      <c r="AC132">
        <v>0.29530000000000001</v>
      </c>
      <c r="AD132">
        <v>1.2200000000000001E-2</v>
      </c>
      <c r="AE132">
        <v>0.69899999999999995</v>
      </c>
      <c r="AF132">
        <v>1095.0043000000001</v>
      </c>
      <c r="AG132">
        <f t="shared" si="8"/>
        <v>0.71409999999999996</v>
      </c>
      <c r="AH132" t="str">
        <f t="shared" si="9"/>
        <v>Jan 2021</v>
      </c>
      <c r="AI132">
        <f t="shared" si="10"/>
        <v>1091.6171999999999</v>
      </c>
      <c r="AJ132" t="str">
        <f t="shared" si="11"/>
        <v>Jan 2021</v>
      </c>
    </row>
    <row r="133" spans="1:36" x14ac:dyDescent="0.2">
      <c r="A133">
        <v>96139</v>
      </c>
      <c r="B133" t="s">
        <v>130</v>
      </c>
      <c r="C133">
        <v>2136.5967000000001</v>
      </c>
      <c r="D133">
        <v>-17.200399999999998</v>
      </c>
      <c r="E133">
        <v>207.18170000000001</v>
      </c>
      <c r="F133">
        <v>73.492699999999999</v>
      </c>
      <c r="G133" s="1">
        <v>1.01E-65</v>
      </c>
      <c r="H133">
        <v>0.218</v>
      </c>
      <c r="I133">
        <v>0.47889999999999999</v>
      </c>
      <c r="J133" s="1">
        <v>4.0099999999999997E-6</v>
      </c>
      <c r="K133">
        <v>0.70579999999999998</v>
      </c>
      <c r="L133">
        <v>1029.2420999999999</v>
      </c>
      <c r="M133">
        <v>2474.1765</v>
      </c>
      <c r="N133">
        <v>-70.602900000000005</v>
      </c>
      <c r="O133">
        <v>325.53179999999998</v>
      </c>
      <c r="P133">
        <v>123.5776</v>
      </c>
      <c r="Q133" s="1">
        <v>1.7300000000000001E-34</v>
      </c>
      <c r="R133">
        <v>9.1999999999999998E-3</v>
      </c>
      <c r="S133">
        <v>0.27910000000000001</v>
      </c>
      <c r="T133" s="1">
        <v>8.2400000000000007E-6</v>
      </c>
      <c r="U133">
        <v>0.73540000000000005</v>
      </c>
      <c r="V133">
        <v>1022.259</v>
      </c>
      <c r="W133">
        <v>2096.2307999999998</v>
      </c>
      <c r="X133">
        <v>-11.9938</v>
      </c>
      <c r="Y133">
        <v>263.0308</v>
      </c>
      <c r="Z133">
        <v>68.341899999999995</v>
      </c>
      <c r="AA133" s="1">
        <v>3.5499999999999999E-69</v>
      </c>
      <c r="AB133">
        <v>0.24099999999999999</v>
      </c>
      <c r="AC133">
        <v>0.32719999999999999</v>
      </c>
      <c r="AD133" s="1">
        <v>4.4900000000000001E-7</v>
      </c>
      <c r="AE133">
        <v>0.7036</v>
      </c>
      <c r="AF133">
        <v>1029.7381</v>
      </c>
      <c r="AG133">
        <f t="shared" si="8"/>
        <v>0.73540000000000005</v>
      </c>
      <c r="AH133" t="str">
        <f t="shared" si="9"/>
        <v>Jun 2020</v>
      </c>
      <c r="AI133">
        <f t="shared" si="10"/>
        <v>1022.259</v>
      </c>
      <c r="AJ133" t="str">
        <f t="shared" si="11"/>
        <v>Jun 2020</v>
      </c>
    </row>
    <row r="134" spans="1:36" x14ac:dyDescent="0.2">
      <c r="A134">
        <v>96146</v>
      </c>
      <c r="B134" t="s">
        <v>131</v>
      </c>
      <c r="C134">
        <v>1701.6667</v>
      </c>
      <c r="D134">
        <v>-65.293499999999995</v>
      </c>
      <c r="E134">
        <v>383.56180000000001</v>
      </c>
      <c r="F134">
        <v>59.720799999999997</v>
      </c>
      <c r="G134" s="1">
        <v>2.1099999999999999E-37</v>
      </c>
      <c r="H134" s="1">
        <v>2.1799999999999998E-11</v>
      </c>
      <c r="I134">
        <v>3.8999999999999998E-3</v>
      </c>
      <c r="J134" s="1">
        <v>6.48E-9</v>
      </c>
      <c r="K134">
        <v>0.78320000000000001</v>
      </c>
      <c r="L134">
        <v>897.50760000000002</v>
      </c>
      <c r="M134">
        <v>1858.902</v>
      </c>
      <c r="N134">
        <v>-89.833299999999994</v>
      </c>
      <c r="O134">
        <v>143.286</v>
      </c>
      <c r="P134">
        <v>85.940399999999997</v>
      </c>
      <c r="Q134" s="1">
        <v>1.0899999999999999E-56</v>
      </c>
      <c r="R134" s="1">
        <v>2.3300000000000002E-13</v>
      </c>
      <c r="S134">
        <v>0.25640000000000002</v>
      </c>
      <c r="T134" s="1">
        <v>4.51E-12</v>
      </c>
      <c r="U134">
        <v>0.82220000000000004</v>
      </c>
      <c r="V134">
        <v>884.41679999999997</v>
      </c>
      <c r="W134">
        <v>1615.1795</v>
      </c>
      <c r="X134">
        <v>-54.143599999999999</v>
      </c>
      <c r="Y134">
        <v>264.5333</v>
      </c>
      <c r="Z134">
        <v>50.302199999999999</v>
      </c>
      <c r="AA134" s="1">
        <v>3.0000000000000001E-26</v>
      </c>
      <c r="AB134" s="1">
        <v>9.7300000000000004E-7</v>
      </c>
      <c r="AC134">
        <v>0.108</v>
      </c>
      <c r="AD134" s="1">
        <v>1.1600000000000001E-5</v>
      </c>
      <c r="AE134">
        <v>0.73350000000000004</v>
      </c>
      <c r="AF134">
        <v>911.1345</v>
      </c>
      <c r="AG134">
        <f t="shared" si="8"/>
        <v>0.82220000000000004</v>
      </c>
      <c r="AH134" t="str">
        <f t="shared" si="9"/>
        <v>Jun 2020</v>
      </c>
      <c r="AI134">
        <f t="shared" si="10"/>
        <v>884.41679999999997</v>
      </c>
      <c r="AJ134" t="str">
        <f t="shared" si="11"/>
        <v>Jun 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breakpoint_results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Izrailov, David</cp:lastModifiedBy>
  <dcterms:created xsi:type="dcterms:W3CDTF">2026-04-15T23:31:38Z</dcterms:created>
  <dcterms:modified xsi:type="dcterms:W3CDTF">2026-04-17T14:40:40Z</dcterms:modified>
</cp:coreProperties>
</file>