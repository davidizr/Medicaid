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MIT Dropbox\David Izrailov\MIT\Academics\Spring\RA\Medicaid\"/>
    </mc:Choice>
  </mc:AlternateContent>
  <xr:revisionPtr revIDLastSave="0" documentId="13_ncr:9_{4D08A5EF-4EB9-4D21-8F02-8C2A30D9DA69}" xr6:coauthVersionLast="47" xr6:coauthVersionMax="47" xr10:uidLastSave="{00000000-0000-0000-0000-000000000000}"/>
  <bookViews>
    <workbookView xWindow="38280" yWindow="-120" windowWidth="38640" windowHeight="21120" xr2:uid="{C9A9715B-B98F-4DA2-A33D-CE10EF878B96}"/>
  </bookViews>
  <sheets>
    <sheet name="combined_robust" sheetId="1" r:id="rId1"/>
  </sheets>
  <calcPr calcId="0"/>
</workbook>
</file>

<file path=xl/calcChain.xml><?xml version="1.0" encoding="utf-8"?>
<calcChain xmlns="http://schemas.openxmlformats.org/spreadsheetml/2006/main">
  <c r="AI3" i="1" l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Y4" i="1"/>
  <c r="Z4" i="1"/>
  <c r="AA4" i="1"/>
  <c r="AB4" i="1"/>
  <c r="AC4" i="1"/>
  <c r="AD4" i="1"/>
  <c r="AE4" i="1"/>
  <c r="AF4" i="1"/>
  <c r="AG4" i="1"/>
  <c r="AH4" i="1"/>
  <c r="Y5" i="1"/>
  <c r="Z5" i="1"/>
  <c r="AA5" i="1"/>
  <c r="AB5" i="1"/>
  <c r="AC5" i="1"/>
  <c r="AD5" i="1"/>
  <c r="AE5" i="1"/>
  <c r="AF5" i="1"/>
  <c r="AG5" i="1"/>
  <c r="AH5" i="1"/>
  <c r="Y6" i="1"/>
  <c r="Z6" i="1"/>
  <c r="AA6" i="1"/>
  <c r="AB6" i="1"/>
  <c r="AC6" i="1"/>
  <c r="AD6" i="1"/>
  <c r="AE6" i="1"/>
  <c r="AF6" i="1"/>
  <c r="AG6" i="1"/>
  <c r="AH6" i="1"/>
  <c r="Y7" i="1"/>
  <c r="Z7" i="1"/>
  <c r="AA7" i="1"/>
  <c r="AB7" i="1"/>
  <c r="AC7" i="1"/>
  <c r="AD7" i="1"/>
  <c r="AE7" i="1"/>
  <c r="AF7" i="1"/>
  <c r="AG7" i="1"/>
  <c r="AH7" i="1"/>
  <c r="Y8" i="1"/>
  <c r="Z8" i="1"/>
  <c r="AA8" i="1"/>
  <c r="AB8" i="1"/>
  <c r="AC8" i="1"/>
  <c r="AD8" i="1"/>
  <c r="AE8" i="1"/>
  <c r="AF8" i="1"/>
  <c r="AG8" i="1"/>
  <c r="AH8" i="1"/>
  <c r="Y9" i="1"/>
  <c r="Z9" i="1"/>
  <c r="AA9" i="1"/>
  <c r="AB9" i="1"/>
  <c r="AC9" i="1"/>
  <c r="AD9" i="1"/>
  <c r="AE9" i="1"/>
  <c r="AF9" i="1"/>
  <c r="AG9" i="1"/>
  <c r="AH9" i="1"/>
  <c r="Y10" i="1"/>
  <c r="Z10" i="1"/>
  <c r="AA10" i="1"/>
  <c r="AB10" i="1"/>
  <c r="AC10" i="1"/>
  <c r="AD10" i="1"/>
  <c r="AE10" i="1"/>
  <c r="AF10" i="1"/>
  <c r="AG10" i="1"/>
  <c r="AH10" i="1"/>
  <c r="Y11" i="1"/>
  <c r="Z11" i="1"/>
  <c r="AA11" i="1"/>
  <c r="AB11" i="1"/>
  <c r="AC11" i="1"/>
  <c r="AD11" i="1"/>
  <c r="AE11" i="1"/>
  <c r="AF11" i="1"/>
  <c r="AG11" i="1"/>
  <c r="AH11" i="1"/>
  <c r="Y12" i="1"/>
  <c r="Z12" i="1"/>
  <c r="AA12" i="1"/>
  <c r="AB12" i="1"/>
  <c r="AC12" i="1"/>
  <c r="AD12" i="1"/>
  <c r="AE12" i="1"/>
  <c r="AF12" i="1"/>
  <c r="AG12" i="1"/>
  <c r="AH12" i="1"/>
  <c r="Y13" i="1"/>
  <c r="Z13" i="1"/>
  <c r="AA13" i="1"/>
  <c r="AB13" i="1"/>
  <c r="AC13" i="1"/>
  <c r="AD13" i="1"/>
  <c r="AE13" i="1"/>
  <c r="AF13" i="1"/>
  <c r="AG13" i="1"/>
  <c r="AH13" i="1"/>
  <c r="Y14" i="1"/>
  <c r="Z14" i="1"/>
  <c r="AA14" i="1"/>
  <c r="AB14" i="1"/>
  <c r="AC14" i="1"/>
  <c r="AD14" i="1"/>
  <c r="AE14" i="1"/>
  <c r="AF14" i="1"/>
  <c r="AG14" i="1"/>
  <c r="AH14" i="1"/>
  <c r="Y15" i="1"/>
  <c r="Z15" i="1"/>
  <c r="AA15" i="1"/>
  <c r="AB15" i="1"/>
  <c r="AC15" i="1"/>
  <c r="AD15" i="1"/>
  <c r="AE15" i="1"/>
  <c r="AF15" i="1"/>
  <c r="AG15" i="1"/>
  <c r="AH15" i="1"/>
  <c r="Y16" i="1"/>
  <c r="Z16" i="1"/>
  <c r="AA16" i="1"/>
  <c r="AB16" i="1"/>
  <c r="AC16" i="1"/>
  <c r="AD16" i="1"/>
  <c r="AE16" i="1"/>
  <c r="AF16" i="1"/>
  <c r="AG16" i="1"/>
  <c r="AH16" i="1"/>
  <c r="Y17" i="1"/>
  <c r="Z17" i="1"/>
  <c r="AA17" i="1"/>
  <c r="AB17" i="1"/>
  <c r="AC17" i="1"/>
  <c r="AD17" i="1"/>
  <c r="AE17" i="1"/>
  <c r="AF17" i="1"/>
  <c r="AG17" i="1"/>
  <c r="AH17" i="1"/>
  <c r="Y18" i="1"/>
  <c r="Z18" i="1"/>
  <c r="AA18" i="1"/>
  <c r="AB18" i="1"/>
  <c r="AC18" i="1"/>
  <c r="AD18" i="1"/>
  <c r="AE18" i="1"/>
  <c r="AF18" i="1"/>
  <c r="AG18" i="1"/>
  <c r="AH18" i="1"/>
  <c r="Y19" i="1"/>
  <c r="Z19" i="1"/>
  <c r="AA19" i="1"/>
  <c r="AB19" i="1"/>
  <c r="AC19" i="1"/>
  <c r="AD19" i="1"/>
  <c r="AE19" i="1"/>
  <c r="AF19" i="1"/>
  <c r="AG19" i="1"/>
  <c r="AH19" i="1"/>
  <c r="Y20" i="1"/>
  <c r="Z20" i="1"/>
  <c r="AA20" i="1"/>
  <c r="AB20" i="1"/>
  <c r="AC20" i="1"/>
  <c r="AD20" i="1"/>
  <c r="AE20" i="1"/>
  <c r="AF20" i="1"/>
  <c r="AG20" i="1"/>
  <c r="AH20" i="1"/>
  <c r="Y21" i="1"/>
  <c r="Z21" i="1"/>
  <c r="AA21" i="1"/>
  <c r="AB21" i="1"/>
  <c r="AC21" i="1"/>
  <c r="AD21" i="1"/>
  <c r="AE21" i="1"/>
  <c r="AF21" i="1"/>
  <c r="AG21" i="1"/>
  <c r="AH21" i="1"/>
  <c r="Y22" i="1"/>
  <c r="Z22" i="1"/>
  <c r="AA22" i="1"/>
  <c r="AB22" i="1"/>
  <c r="AC22" i="1"/>
  <c r="AD22" i="1"/>
  <c r="AE22" i="1"/>
  <c r="AF22" i="1"/>
  <c r="AG22" i="1"/>
  <c r="AH22" i="1"/>
  <c r="Y23" i="1"/>
  <c r="Z23" i="1"/>
  <c r="AA23" i="1"/>
  <c r="AB23" i="1"/>
  <c r="AC23" i="1"/>
  <c r="AD23" i="1"/>
  <c r="AE23" i="1"/>
  <c r="AF23" i="1"/>
  <c r="AG23" i="1"/>
  <c r="AH23" i="1"/>
  <c r="Y24" i="1"/>
  <c r="Z24" i="1"/>
  <c r="AA24" i="1"/>
  <c r="AB24" i="1"/>
  <c r="AC24" i="1"/>
  <c r="AD24" i="1"/>
  <c r="AE24" i="1"/>
  <c r="AF24" i="1"/>
  <c r="AG24" i="1"/>
  <c r="AH24" i="1"/>
  <c r="Y25" i="1"/>
  <c r="Z25" i="1"/>
  <c r="AA25" i="1"/>
  <c r="AB25" i="1"/>
  <c r="AC25" i="1"/>
  <c r="AD25" i="1"/>
  <c r="AE25" i="1"/>
  <c r="AF25" i="1"/>
  <c r="AG25" i="1"/>
  <c r="AH25" i="1"/>
  <c r="Y26" i="1"/>
  <c r="Z26" i="1"/>
  <c r="AA26" i="1"/>
  <c r="AB26" i="1"/>
  <c r="AC26" i="1"/>
  <c r="AD26" i="1"/>
  <c r="AE26" i="1"/>
  <c r="AF26" i="1"/>
  <c r="AG26" i="1"/>
  <c r="AH26" i="1"/>
  <c r="Y27" i="1"/>
  <c r="Z27" i="1"/>
  <c r="AA27" i="1"/>
  <c r="AB27" i="1"/>
  <c r="AC27" i="1"/>
  <c r="AD27" i="1"/>
  <c r="AE27" i="1"/>
  <c r="AF27" i="1"/>
  <c r="AG27" i="1"/>
  <c r="AH27" i="1"/>
  <c r="Y28" i="1"/>
  <c r="Z28" i="1"/>
  <c r="AA28" i="1"/>
  <c r="AB28" i="1"/>
  <c r="AC28" i="1"/>
  <c r="AD28" i="1"/>
  <c r="AE28" i="1"/>
  <c r="AF28" i="1"/>
  <c r="AG28" i="1"/>
  <c r="AH28" i="1"/>
  <c r="Y29" i="1"/>
  <c r="Z29" i="1"/>
  <c r="AA29" i="1"/>
  <c r="AB29" i="1"/>
  <c r="AC29" i="1"/>
  <c r="AD29" i="1"/>
  <c r="AE29" i="1"/>
  <c r="AF29" i="1"/>
  <c r="AG29" i="1"/>
  <c r="AH29" i="1"/>
  <c r="Y30" i="1"/>
  <c r="Z30" i="1"/>
  <c r="AA30" i="1"/>
  <c r="AB30" i="1"/>
  <c r="AC30" i="1"/>
  <c r="AD30" i="1"/>
  <c r="AE30" i="1"/>
  <c r="AF30" i="1"/>
  <c r="AG30" i="1"/>
  <c r="AH30" i="1"/>
  <c r="Y31" i="1"/>
  <c r="Z31" i="1"/>
  <c r="AA31" i="1"/>
  <c r="AB31" i="1"/>
  <c r="AC31" i="1"/>
  <c r="AD31" i="1"/>
  <c r="AE31" i="1"/>
  <c r="AF31" i="1"/>
  <c r="AG31" i="1"/>
  <c r="AH31" i="1"/>
  <c r="Y32" i="1"/>
  <c r="Z32" i="1"/>
  <c r="AA32" i="1"/>
  <c r="AB32" i="1"/>
  <c r="AC32" i="1"/>
  <c r="AD32" i="1"/>
  <c r="AE32" i="1"/>
  <c r="AF32" i="1"/>
  <c r="AG32" i="1"/>
  <c r="AH32" i="1"/>
  <c r="Y33" i="1"/>
  <c r="Z33" i="1"/>
  <c r="AA33" i="1"/>
  <c r="AB33" i="1"/>
  <c r="AC33" i="1"/>
  <c r="AD33" i="1"/>
  <c r="AE33" i="1"/>
  <c r="AF33" i="1"/>
  <c r="AG33" i="1"/>
  <c r="AH33" i="1"/>
  <c r="Y34" i="1"/>
  <c r="Z34" i="1"/>
  <c r="AA34" i="1"/>
  <c r="AB34" i="1"/>
  <c r="AC34" i="1"/>
  <c r="AD34" i="1"/>
  <c r="AE34" i="1"/>
  <c r="AF34" i="1"/>
  <c r="AG34" i="1"/>
  <c r="AH34" i="1"/>
  <c r="Y35" i="1"/>
  <c r="Z35" i="1"/>
  <c r="AA35" i="1"/>
  <c r="AB35" i="1"/>
  <c r="AC35" i="1"/>
  <c r="AD35" i="1"/>
  <c r="AE35" i="1"/>
  <c r="AF35" i="1"/>
  <c r="AG35" i="1"/>
  <c r="AH35" i="1"/>
  <c r="Y36" i="1"/>
  <c r="Z36" i="1"/>
  <c r="AA36" i="1"/>
  <c r="AB36" i="1"/>
  <c r="AC36" i="1"/>
  <c r="AD36" i="1"/>
  <c r="AE36" i="1"/>
  <c r="AF36" i="1"/>
  <c r="AG36" i="1"/>
  <c r="AH36" i="1"/>
  <c r="Y37" i="1"/>
  <c r="Z37" i="1"/>
  <c r="AA37" i="1"/>
  <c r="AB37" i="1"/>
  <c r="AC37" i="1"/>
  <c r="AD37" i="1"/>
  <c r="AE37" i="1"/>
  <c r="AF37" i="1"/>
  <c r="AG37" i="1"/>
  <c r="AH37" i="1"/>
  <c r="Y38" i="1"/>
  <c r="Z38" i="1"/>
  <c r="AA38" i="1"/>
  <c r="AB38" i="1"/>
  <c r="AC38" i="1"/>
  <c r="AD38" i="1"/>
  <c r="AE38" i="1"/>
  <c r="AF38" i="1"/>
  <c r="AG38" i="1"/>
  <c r="AH38" i="1"/>
  <c r="Y39" i="1"/>
  <c r="Z39" i="1"/>
  <c r="AA39" i="1"/>
  <c r="AB39" i="1"/>
  <c r="AC39" i="1"/>
  <c r="AD39" i="1"/>
  <c r="AE39" i="1"/>
  <c r="AF39" i="1"/>
  <c r="AG39" i="1"/>
  <c r="AH39" i="1"/>
  <c r="Y40" i="1"/>
  <c r="Z40" i="1"/>
  <c r="AA40" i="1"/>
  <c r="AB40" i="1"/>
  <c r="AC40" i="1"/>
  <c r="AD40" i="1"/>
  <c r="AE40" i="1"/>
  <c r="AF40" i="1"/>
  <c r="AG40" i="1"/>
  <c r="AH40" i="1"/>
  <c r="Y41" i="1"/>
  <c r="Z41" i="1"/>
  <c r="AA41" i="1"/>
  <c r="AB41" i="1"/>
  <c r="AC41" i="1"/>
  <c r="AD41" i="1"/>
  <c r="AE41" i="1"/>
  <c r="AF41" i="1"/>
  <c r="AG41" i="1"/>
  <c r="AH41" i="1"/>
  <c r="Y42" i="1"/>
  <c r="Z42" i="1"/>
  <c r="AA42" i="1"/>
  <c r="AB42" i="1"/>
  <c r="AC42" i="1"/>
  <c r="AD42" i="1"/>
  <c r="AE42" i="1"/>
  <c r="AF42" i="1"/>
  <c r="AG42" i="1"/>
  <c r="AH42" i="1"/>
  <c r="Y43" i="1"/>
  <c r="Z43" i="1"/>
  <c r="AA43" i="1"/>
  <c r="AB43" i="1"/>
  <c r="AC43" i="1"/>
  <c r="AD43" i="1"/>
  <c r="AE43" i="1"/>
  <c r="AF43" i="1"/>
  <c r="AG43" i="1"/>
  <c r="AH43" i="1"/>
  <c r="Y44" i="1"/>
  <c r="Z44" i="1"/>
  <c r="AA44" i="1"/>
  <c r="AB44" i="1"/>
  <c r="AC44" i="1"/>
  <c r="AD44" i="1"/>
  <c r="AE44" i="1"/>
  <c r="AF44" i="1"/>
  <c r="AG44" i="1"/>
  <c r="AH44" i="1"/>
  <c r="Y45" i="1"/>
  <c r="Z45" i="1"/>
  <c r="AA45" i="1"/>
  <c r="AB45" i="1"/>
  <c r="AC45" i="1"/>
  <c r="AD45" i="1"/>
  <c r="AE45" i="1"/>
  <c r="AF45" i="1"/>
  <c r="AG45" i="1"/>
  <c r="AH45" i="1"/>
  <c r="Y46" i="1"/>
  <c r="Z46" i="1"/>
  <c r="AA46" i="1"/>
  <c r="AB46" i="1"/>
  <c r="AC46" i="1"/>
  <c r="AD46" i="1"/>
  <c r="AE46" i="1"/>
  <c r="AF46" i="1"/>
  <c r="AG46" i="1"/>
  <c r="AH46" i="1"/>
  <c r="Y47" i="1"/>
  <c r="Z47" i="1"/>
  <c r="AA47" i="1"/>
  <c r="AB47" i="1"/>
  <c r="AC47" i="1"/>
  <c r="AD47" i="1"/>
  <c r="AE47" i="1"/>
  <c r="AF47" i="1"/>
  <c r="AG47" i="1"/>
  <c r="AH47" i="1"/>
  <c r="Y48" i="1"/>
  <c r="Z48" i="1"/>
  <c r="AA48" i="1"/>
  <c r="AB48" i="1"/>
  <c r="AC48" i="1"/>
  <c r="AD48" i="1"/>
  <c r="AE48" i="1"/>
  <c r="AF48" i="1"/>
  <c r="AG48" i="1"/>
  <c r="AH48" i="1"/>
  <c r="Y49" i="1"/>
  <c r="Z49" i="1"/>
  <c r="AA49" i="1"/>
  <c r="AB49" i="1"/>
  <c r="AC49" i="1"/>
  <c r="AD49" i="1"/>
  <c r="AE49" i="1"/>
  <c r="AF49" i="1"/>
  <c r="AG49" i="1"/>
  <c r="AH49" i="1"/>
  <c r="Y50" i="1"/>
  <c r="Z50" i="1"/>
  <c r="AA50" i="1"/>
  <c r="AB50" i="1"/>
  <c r="AC50" i="1"/>
  <c r="AD50" i="1"/>
  <c r="AE50" i="1"/>
  <c r="AF50" i="1"/>
  <c r="AG50" i="1"/>
  <c r="AH50" i="1"/>
  <c r="Y51" i="1"/>
  <c r="Z51" i="1"/>
  <c r="AA51" i="1"/>
  <c r="AB51" i="1"/>
  <c r="AC51" i="1"/>
  <c r="AD51" i="1"/>
  <c r="AE51" i="1"/>
  <c r="AF51" i="1"/>
  <c r="AG51" i="1"/>
  <c r="AH51" i="1"/>
  <c r="Y52" i="1"/>
  <c r="Z52" i="1"/>
  <c r="AA52" i="1"/>
  <c r="AB52" i="1"/>
  <c r="AC52" i="1"/>
  <c r="AD52" i="1"/>
  <c r="AE52" i="1"/>
  <c r="AF52" i="1"/>
  <c r="AG52" i="1"/>
  <c r="AH52" i="1"/>
  <c r="Y53" i="1"/>
  <c r="Z53" i="1"/>
  <c r="AA53" i="1"/>
  <c r="AB53" i="1"/>
  <c r="AC53" i="1"/>
  <c r="AD53" i="1"/>
  <c r="AE53" i="1"/>
  <c r="AF53" i="1"/>
  <c r="AG53" i="1"/>
  <c r="AH53" i="1"/>
  <c r="Y54" i="1"/>
  <c r="Z54" i="1"/>
  <c r="AA54" i="1"/>
  <c r="AB54" i="1"/>
  <c r="AC54" i="1"/>
  <c r="AD54" i="1"/>
  <c r="AE54" i="1"/>
  <c r="AF54" i="1"/>
  <c r="AG54" i="1"/>
  <c r="AH54" i="1"/>
  <c r="Y55" i="1"/>
  <c r="Z55" i="1"/>
  <c r="AA55" i="1"/>
  <c r="AB55" i="1"/>
  <c r="AC55" i="1"/>
  <c r="AD55" i="1"/>
  <c r="AE55" i="1"/>
  <c r="AF55" i="1"/>
  <c r="AG55" i="1"/>
  <c r="AH55" i="1"/>
  <c r="Y56" i="1"/>
  <c r="Z56" i="1"/>
  <c r="AA56" i="1"/>
  <c r="AB56" i="1"/>
  <c r="AC56" i="1"/>
  <c r="AD56" i="1"/>
  <c r="AE56" i="1"/>
  <c r="AF56" i="1"/>
  <c r="AG56" i="1"/>
  <c r="AH56" i="1"/>
  <c r="Y57" i="1"/>
  <c r="Z57" i="1"/>
  <c r="AA57" i="1"/>
  <c r="AB57" i="1"/>
  <c r="AC57" i="1"/>
  <c r="AD57" i="1"/>
  <c r="AE57" i="1"/>
  <c r="AF57" i="1"/>
  <c r="AG57" i="1"/>
  <c r="AH57" i="1"/>
  <c r="Y58" i="1"/>
  <c r="Z58" i="1"/>
  <c r="AA58" i="1"/>
  <c r="AB58" i="1"/>
  <c r="AC58" i="1"/>
  <c r="AD58" i="1"/>
  <c r="AE58" i="1"/>
  <c r="AF58" i="1"/>
  <c r="AG58" i="1"/>
  <c r="AH58" i="1"/>
  <c r="Y59" i="1"/>
  <c r="Z59" i="1"/>
  <c r="AA59" i="1"/>
  <c r="AB59" i="1"/>
  <c r="AC59" i="1"/>
  <c r="AD59" i="1"/>
  <c r="AE59" i="1"/>
  <c r="AF59" i="1"/>
  <c r="AG59" i="1"/>
  <c r="AH59" i="1"/>
  <c r="Y60" i="1"/>
  <c r="Z60" i="1"/>
  <c r="AA60" i="1"/>
  <c r="AB60" i="1"/>
  <c r="AC60" i="1"/>
  <c r="AD60" i="1"/>
  <c r="AE60" i="1"/>
  <c r="AF60" i="1"/>
  <c r="AG60" i="1"/>
  <c r="AH60" i="1"/>
  <c r="Y61" i="1"/>
  <c r="Z61" i="1"/>
  <c r="AA61" i="1"/>
  <c r="AB61" i="1"/>
  <c r="AC61" i="1"/>
  <c r="AD61" i="1"/>
  <c r="AE61" i="1"/>
  <c r="AF61" i="1"/>
  <c r="AG61" i="1"/>
  <c r="AH61" i="1"/>
  <c r="Y62" i="1"/>
  <c r="Z62" i="1"/>
  <c r="AA62" i="1"/>
  <c r="AB62" i="1"/>
  <c r="AC62" i="1"/>
  <c r="AD62" i="1"/>
  <c r="AE62" i="1"/>
  <c r="AF62" i="1"/>
  <c r="AG62" i="1"/>
  <c r="AH62" i="1"/>
  <c r="Y63" i="1"/>
  <c r="Z63" i="1"/>
  <c r="AA63" i="1"/>
  <c r="AB63" i="1"/>
  <c r="AC63" i="1"/>
  <c r="AD63" i="1"/>
  <c r="AE63" i="1"/>
  <c r="AF63" i="1"/>
  <c r="AG63" i="1"/>
  <c r="AH63" i="1"/>
  <c r="Y64" i="1"/>
  <c r="Z64" i="1"/>
  <c r="AA64" i="1"/>
  <c r="AB64" i="1"/>
  <c r="AC64" i="1"/>
  <c r="AD64" i="1"/>
  <c r="AE64" i="1"/>
  <c r="AF64" i="1"/>
  <c r="AG64" i="1"/>
  <c r="AH64" i="1"/>
  <c r="Y65" i="1"/>
  <c r="Z65" i="1"/>
  <c r="AA65" i="1"/>
  <c r="AB65" i="1"/>
  <c r="AC65" i="1"/>
  <c r="AD65" i="1"/>
  <c r="AE65" i="1"/>
  <c r="AF65" i="1"/>
  <c r="AG65" i="1"/>
  <c r="AH65" i="1"/>
  <c r="Y66" i="1"/>
  <c r="Z66" i="1"/>
  <c r="AA66" i="1"/>
  <c r="AB66" i="1"/>
  <c r="AC66" i="1"/>
  <c r="AD66" i="1"/>
  <c r="AE66" i="1"/>
  <c r="AF66" i="1"/>
  <c r="AG66" i="1"/>
  <c r="AH66" i="1"/>
  <c r="Y67" i="1"/>
  <c r="Z67" i="1"/>
  <c r="AA67" i="1"/>
  <c r="AB67" i="1"/>
  <c r="AC67" i="1"/>
  <c r="AD67" i="1"/>
  <c r="AE67" i="1"/>
  <c r="AF67" i="1"/>
  <c r="AG67" i="1"/>
  <c r="AH67" i="1"/>
  <c r="Y68" i="1"/>
  <c r="Z68" i="1"/>
  <c r="AA68" i="1"/>
  <c r="AB68" i="1"/>
  <c r="AC68" i="1"/>
  <c r="AD68" i="1"/>
  <c r="AE68" i="1"/>
  <c r="AF68" i="1"/>
  <c r="AG68" i="1"/>
  <c r="AH68" i="1"/>
  <c r="Y69" i="1"/>
  <c r="Z69" i="1"/>
  <c r="AA69" i="1"/>
  <c r="AB69" i="1"/>
  <c r="AC69" i="1"/>
  <c r="AD69" i="1"/>
  <c r="AE69" i="1"/>
  <c r="AF69" i="1"/>
  <c r="AG69" i="1"/>
  <c r="AH69" i="1"/>
  <c r="Y70" i="1"/>
  <c r="Z70" i="1"/>
  <c r="AA70" i="1"/>
  <c r="AB70" i="1"/>
  <c r="AC70" i="1"/>
  <c r="AD70" i="1"/>
  <c r="AE70" i="1"/>
  <c r="AF70" i="1"/>
  <c r="AG70" i="1"/>
  <c r="AH70" i="1"/>
  <c r="Y71" i="1"/>
  <c r="Z71" i="1"/>
  <c r="AA71" i="1"/>
  <c r="AB71" i="1"/>
  <c r="AC71" i="1"/>
  <c r="AD71" i="1"/>
  <c r="AE71" i="1"/>
  <c r="AF71" i="1"/>
  <c r="AG71" i="1"/>
  <c r="AH71" i="1"/>
  <c r="Y72" i="1"/>
  <c r="Z72" i="1"/>
  <c r="AA72" i="1"/>
  <c r="AB72" i="1"/>
  <c r="AC72" i="1"/>
  <c r="AD72" i="1"/>
  <c r="AE72" i="1"/>
  <c r="AF72" i="1"/>
  <c r="AG72" i="1"/>
  <c r="AH72" i="1"/>
  <c r="Y73" i="1"/>
  <c r="Z73" i="1"/>
  <c r="AA73" i="1"/>
  <c r="AB73" i="1"/>
  <c r="AC73" i="1"/>
  <c r="AD73" i="1"/>
  <c r="AE73" i="1"/>
  <c r="AF73" i="1"/>
  <c r="AG73" i="1"/>
  <c r="AH73" i="1"/>
  <c r="Y74" i="1"/>
  <c r="Z74" i="1"/>
  <c r="AA74" i="1"/>
  <c r="AB74" i="1"/>
  <c r="AC74" i="1"/>
  <c r="AD74" i="1"/>
  <c r="AE74" i="1"/>
  <c r="AF74" i="1"/>
  <c r="AG74" i="1"/>
  <c r="AH74" i="1"/>
  <c r="Y75" i="1"/>
  <c r="Z75" i="1"/>
  <c r="AA75" i="1"/>
  <c r="AB75" i="1"/>
  <c r="AC75" i="1"/>
  <c r="AD75" i="1"/>
  <c r="AE75" i="1"/>
  <c r="AF75" i="1"/>
  <c r="AG75" i="1"/>
  <c r="AH75" i="1"/>
  <c r="Y76" i="1"/>
  <c r="Z76" i="1"/>
  <c r="AA76" i="1"/>
  <c r="AB76" i="1"/>
  <c r="AC76" i="1"/>
  <c r="AD76" i="1"/>
  <c r="AE76" i="1"/>
  <c r="AF76" i="1"/>
  <c r="AG76" i="1"/>
  <c r="AH76" i="1"/>
  <c r="Y77" i="1"/>
  <c r="Z77" i="1"/>
  <c r="AA77" i="1"/>
  <c r="AB77" i="1"/>
  <c r="AC77" i="1"/>
  <c r="AD77" i="1"/>
  <c r="AE77" i="1"/>
  <c r="AF77" i="1"/>
  <c r="AG77" i="1"/>
  <c r="AH77" i="1"/>
  <c r="Y78" i="1"/>
  <c r="Z78" i="1"/>
  <c r="AA78" i="1"/>
  <c r="AB78" i="1"/>
  <c r="AC78" i="1"/>
  <c r="AD78" i="1"/>
  <c r="AE78" i="1"/>
  <c r="AF78" i="1"/>
  <c r="AG78" i="1"/>
  <c r="AH78" i="1"/>
  <c r="Y79" i="1"/>
  <c r="Z79" i="1"/>
  <c r="AA79" i="1"/>
  <c r="AB79" i="1"/>
  <c r="AC79" i="1"/>
  <c r="AD79" i="1"/>
  <c r="AE79" i="1"/>
  <c r="AF79" i="1"/>
  <c r="AG79" i="1"/>
  <c r="AH79" i="1"/>
  <c r="Y80" i="1"/>
  <c r="Z80" i="1"/>
  <c r="AA80" i="1"/>
  <c r="AB80" i="1"/>
  <c r="AC80" i="1"/>
  <c r="AD80" i="1"/>
  <c r="AE80" i="1"/>
  <c r="AF80" i="1"/>
  <c r="AG80" i="1"/>
  <c r="AH80" i="1"/>
  <c r="Y81" i="1"/>
  <c r="Z81" i="1"/>
  <c r="AA81" i="1"/>
  <c r="AB81" i="1"/>
  <c r="AC81" i="1"/>
  <c r="AD81" i="1"/>
  <c r="AE81" i="1"/>
  <c r="AF81" i="1"/>
  <c r="AG81" i="1"/>
  <c r="AH81" i="1"/>
  <c r="Y82" i="1"/>
  <c r="Z82" i="1"/>
  <c r="AA82" i="1"/>
  <c r="AB82" i="1"/>
  <c r="AC82" i="1"/>
  <c r="AD82" i="1"/>
  <c r="AE82" i="1"/>
  <c r="AF82" i="1"/>
  <c r="AG82" i="1"/>
  <c r="AH82" i="1"/>
  <c r="Y83" i="1"/>
  <c r="Z83" i="1"/>
  <c r="AA83" i="1"/>
  <c r="AB83" i="1"/>
  <c r="AC83" i="1"/>
  <c r="AD83" i="1"/>
  <c r="AE83" i="1"/>
  <c r="AF83" i="1"/>
  <c r="AG83" i="1"/>
  <c r="AH83" i="1"/>
  <c r="Y84" i="1"/>
  <c r="Z84" i="1"/>
  <c r="AA84" i="1"/>
  <c r="AB84" i="1"/>
  <c r="AC84" i="1"/>
  <c r="AD84" i="1"/>
  <c r="AE84" i="1"/>
  <c r="AF84" i="1"/>
  <c r="AG84" i="1"/>
  <c r="AH84" i="1"/>
  <c r="Y85" i="1"/>
  <c r="Z85" i="1"/>
  <c r="AA85" i="1"/>
  <c r="AB85" i="1"/>
  <c r="AC85" i="1"/>
  <c r="AD85" i="1"/>
  <c r="AE85" i="1"/>
  <c r="AF85" i="1"/>
  <c r="AG85" i="1"/>
  <c r="AH85" i="1"/>
  <c r="Y86" i="1"/>
  <c r="Z86" i="1"/>
  <c r="AA86" i="1"/>
  <c r="AB86" i="1"/>
  <c r="AC86" i="1"/>
  <c r="AD86" i="1"/>
  <c r="AE86" i="1"/>
  <c r="AF86" i="1"/>
  <c r="AG86" i="1"/>
  <c r="AH86" i="1"/>
  <c r="Y87" i="1"/>
  <c r="Z87" i="1"/>
  <c r="AA87" i="1"/>
  <c r="AB87" i="1"/>
  <c r="AC87" i="1"/>
  <c r="AD87" i="1"/>
  <c r="AE87" i="1"/>
  <c r="AF87" i="1"/>
  <c r="AG87" i="1"/>
  <c r="AH87" i="1"/>
  <c r="Y88" i="1"/>
  <c r="Z88" i="1"/>
  <c r="AA88" i="1"/>
  <c r="AB88" i="1"/>
  <c r="AC88" i="1"/>
  <c r="AD88" i="1"/>
  <c r="AE88" i="1"/>
  <c r="AF88" i="1"/>
  <c r="AG88" i="1"/>
  <c r="AH88" i="1"/>
  <c r="Y89" i="1"/>
  <c r="Z89" i="1"/>
  <c r="AA89" i="1"/>
  <c r="AB89" i="1"/>
  <c r="AC89" i="1"/>
  <c r="AD89" i="1"/>
  <c r="AE89" i="1"/>
  <c r="AF89" i="1"/>
  <c r="AG89" i="1"/>
  <c r="AH89" i="1"/>
  <c r="Y90" i="1"/>
  <c r="Z90" i="1"/>
  <c r="AA90" i="1"/>
  <c r="AB90" i="1"/>
  <c r="AC90" i="1"/>
  <c r="AD90" i="1"/>
  <c r="AE90" i="1"/>
  <c r="AF90" i="1"/>
  <c r="AG90" i="1"/>
  <c r="AH90" i="1"/>
  <c r="Y91" i="1"/>
  <c r="Z91" i="1"/>
  <c r="AA91" i="1"/>
  <c r="AB91" i="1"/>
  <c r="AC91" i="1"/>
  <c r="AD91" i="1"/>
  <c r="AE91" i="1"/>
  <c r="AF91" i="1"/>
  <c r="AG91" i="1"/>
  <c r="AH91" i="1"/>
  <c r="Y92" i="1"/>
  <c r="Z92" i="1"/>
  <c r="AA92" i="1"/>
  <c r="AB92" i="1"/>
  <c r="AC92" i="1"/>
  <c r="AD92" i="1"/>
  <c r="AE92" i="1"/>
  <c r="AF92" i="1"/>
  <c r="AG92" i="1"/>
  <c r="AH92" i="1"/>
  <c r="Y93" i="1"/>
  <c r="Z93" i="1"/>
  <c r="AA93" i="1"/>
  <c r="AB93" i="1"/>
  <c r="AC93" i="1"/>
  <c r="AD93" i="1"/>
  <c r="AE93" i="1"/>
  <c r="AF93" i="1"/>
  <c r="AG93" i="1"/>
  <c r="AH93" i="1"/>
  <c r="Y94" i="1"/>
  <c r="Z94" i="1"/>
  <c r="AA94" i="1"/>
  <c r="AB94" i="1"/>
  <c r="AC94" i="1"/>
  <c r="AD94" i="1"/>
  <c r="AE94" i="1"/>
  <c r="AF94" i="1"/>
  <c r="AG94" i="1"/>
  <c r="AH94" i="1"/>
  <c r="Y95" i="1"/>
  <c r="Z95" i="1"/>
  <c r="AA95" i="1"/>
  <c r="AB95" i="1"/>
  <c r="AC95" i="1"/>
  <c r="AD95" i="1"/>
  <c r="AE95" i="1"/>
  <c r="AF95" i="1"/>
  <c r="AG95" i="1"/>
  <c r="AH95" i="1"/>
  <c r="Y96" i="1"/>
  <c r="Z96" i="1"/>
  <c r="AA96" i="1"/>
  <c r="AB96" i="1"/>
  <c r="AC96" i="1"/>
  <c r="AD96" i="1"/>
  <c r="AE96" i="1"/>
  <c r="AF96" i="1"/>
  <c r="AG96" i="1"/>
  <c r="AH96" i="1"/>
  <c r="Y97" i="1"/>
  <c r="Z97" i="1"/>
  <c r="AA97" i="1"/>
  <c r="AB97" i="1"/>
  <c r="AC97" i="1"/>
  <c r="AD97" i="1"/>
  <c r="AE97" i="1"/>
  <c r="AF97" i="1"/>
  <c r="AG97" i="1"/>
  <c r="AH97" i="1"/>
  <c r="Y98" i="1"/>
  <c r="Z98" i="1"/>
  <c r="AA98" i="1"/>
  <c r="AB98" i="1"/>
  <c r="AC98" i="1"/>
  <c r="AD98" i="1"/>
  <c r="AE98" i="1"/>
  <c r="AF98" i="1"/>
  <c r="AG98" i="1"/>
  <c r="AH98" i="1"/>
  <c r="Y99" i="1"/>
  <c r="Z99" i="1"/>
  <c r="AA99" i="1"/>
  <c r="AB99" i="1"/>
  <c r="AC99" i="1"/>
  <c r="AD99" i="1"/>
  <c r="AE99" i="1"/>
  <c r="AF99" i="1"/>
  <c r="AG99" i="1"/>
  <c r="AH99" i="1"/>
  <c r="Y100" i="1"/>
  <c r="Z100" i="1"/>
  <c r="AA100" i="1"/>
  <c r="AB100" i="1"/>
  <c r="AC100" i="1"/>
  <c r="AD100" i="1"/>
  <c r="AE100" i="1"/>
  <c r="AF100" i="1"/>
  <c r="AG100" i="1"/>
  <c r="AH100" i="1"/>
  <c r="Y101" i="1"/>
  <c r="Z101" i="1"/>
  <c r="AA101" i="1"/>
  <c r="AB101" i="1"/>
  <c r="AC101" i="1"/>
  <c r="AD101" i="1"/>
  <c r="AE101" i="1"/>
  <c r="AF101" i="1"/>
  <c r="AG101" i="1"/>
  <c r="AH101" i="1"/>
  <c r="Y102" i="1"/>
  <c r="Z102" i="1"/>
  <c r="AA102" i="1"/>
  <c r="AB102" i="1"/>
  <c r="AC102" i="1"/>
  <c r="AD102" i="1"/>
  <c r="AE102" i="1"/>
  <c r="AF102" i="1"/>
  <c r="AG102" i="1"/>
  <c r="AH102" i="1"/>
  <c r="Y103" i="1"/>
  <c r="Z103" i="1"/>
  <c r="AA103" i="1"/>
  <c r="AB103" i="1"/>
  <c r="AC103" i="1"/>
  <c r="AD103" i="1"/>
  <c r="AE103" i="1"/>
  <c r="AF103" i="1"/>
  <c r="AG103" i="1"/>
  <c r="AH103" i="1"/>
  <c r="Y104" i="1"/>
  <c r="Z104" i="1"/>
  <c r="AA104" i="1"/>
  <c r="AB104" i="1"/>
  <c r="AC104" i="1"/>
  <c r="AD104" i="1"/>
  <c r="AE104" i="1"/>
  <c r="AF104" i="1"/>
  <c r="AG104" i="1"/>
  <c r="AH104" i="1"/>
  <c r="Y105" i="1"/>
  <c r="Z105" i="1"/>
  <c r="AA105" i="1"/>
  <c r="AB105" i="1"/>
  <c r="AC105" i="1"/>
  <c r="AD105" i="1"/>
  <c r="AE105" i="1"/>
  <c r="AF105" i="1"/>
  <c r="AG105" i="1"/>
  <c r="AH105" i="1"/>
  <c r="Y106" i="1"/>
  <c r="Z106" i="1"/>
  <c r="AA106" i="1"/>
  <c r="AB106" i="1"/>
  <c r="AC106" i="1"/>
  <c r="AD106" i="1"/>
  <c r="AE106" i="1"/>
  <c r="AF106" i="1"/>
  <c r="AG106" i="1"/>
  <c r="AH106" i="1"/>
  <c r="Y107" i="1"/>
  <c r="Z107" i="1"/>
  <c r="AA107" i="1"/>
  <c r="AB107" i="1"/>
  <c r="AC107" i="1"/>
  <c r="AD107" i="1"/>
  <c r="AE107" i="1"/>
  <c r="AF107" i="1"/>
  <c r="AG107" i="1"/>
  <c r="AH107" i="1"/>
  <c r="Y108" i="1"/>
  <c r="Z108" i="1"/>
  <c r="AA108" i="1"/>
  <c r="AB108" i="1"/>
  <c r="AC108" i="1"/>
  <c r="AD108" i="1"/>
  <c r="AE108" i="1"/>
  <c r="AF108" i="1"/>
  <c r="AG108" i="1"/>
  <c r="AH108" i="1"/>
  <c r="Y109" i="1"/>
  <c r="Z109" i="1"/>
  <c r="AA109" i="1"/>
  <c r="AB109" i="1"/>
  <c r="AC109" i="1"/>
  <c r="AD109" i="1"/>
  <c r="AE109" i="1"/>
  <c r="AF109" i="1"/>
  <c r="AG109" i="1"/>
  <c r="AH109" i="1"/>
  <c r="Y110" i="1"/>
  <c r="Z110" i="1"/>
  <c r="AA110" i="1"/>
  <c r="AB110" i="1"/>
  <c r="AC110" i="1"/>
  <c r="AD110" i="1"/>
  <c r="AE110" i="1"/>
  <c r="AF110" i="1"/>
  <c r="AG110" i="1"/>
  <c r="AH110" i="1"/>
  <c r="Y111" i="1"/>
  <c r="Z111" i="1"/>
  <c r="AA111" i="1"/>
  <c r="AB111" i="1"/>
  <c r="AC111" i="1"/>
  <c r="AD111" i="1"/>
  <c r="AE111" i="1"/>
  <c r="AF111" i="1"/>
  <c r="AG111" i="1"/>
  <c r="AH111" i="1"/>
  <c r="Y112" i="1"/>
  <c r="Z112" i="1"/>
  <c r="AA112" i="1"/>
  <c r="AB112" i="1"/>
  <c r="AC112" i="1"/>
  <c r="AD112" i="1"/>
  <c r="AE112" i="1"/>
  <c r="AF112" i="1"/>
  <c r="AG112" i="1"/>
  <c r="AH112" i="1"/>
  <c r="Y113" i="1"/>
  <c r="Z113" i="1"/>
  <c r="AA113" i="1"/>
  <c r="AB113" i="1"/>
  <c r="AC113" i="1"/>
  <c r="AD113" i="1"/>
  <c r="AE113" i="1"/>
  <c r="AF113" i="1"/>
  <c r="AG113" i="1"/>
  <c r="AH113" i="1"/>
  <c r="Y114" i="1"/>
  <c r="Z114" i="1"/>
  <c r="AA114" i="1"/>
  <c r="AB114" i="1"/>
  <c r="AC114" i="1"/>
  <c r="AD114" i="1"/>
  <c r="AE114" i="1"/>
  <c r="AF114" i="1"/>
  <c r="AG114" i="1"/>
  <c r="AH114" i="1"/>
  <c r="Y115" i="1"/>
  <c r="Z115" i="1"/>
  <c r="AA115" i="1"/>
  <c r="AB115" i="1"/>
  <c r="AC115" i="1"/>
  <c r="AD115" i="1"/>
  <c r="AE115" i="1"/>
  <c r="AF115" i="1"/>
  <c r="AG115" i="1"/>
  <c r="AH115" i="1"/>
  <c r="Y116" i="1"/>
  <c r="Z116" i="1"/>
  <c r="AA116" i="1"/>
  <c r="AB116" i="1"/>
  <c r="AC116" i="1"/>
  <c r="AD116" i="1"/>
  <c r="AE116" i="1"/>
  <c r="AF116" i="1"/>
  <c r="AG116" i="1"/>
  <c r="AH116" i="1"/>
  <c r="Y117" i="1"/>
  <c r="Z117" i="1"/>
  <c r="AA117" i="1"/>
  <c r="AB117" i="1"/>
  <c r="AC117" i="1"/>
  <c r="AD117" i="1"/>
  <c r="AE117" i="1"/>
  <c r="AF117" i="1"/>
  <c r="AG117" i="1"/>
  <c r="AH117" i="1"/>
  <c r="Y118" i="1"/>
  <c r="Z118" i="1"/>
  <c r="AA118" i="1"/>
  <c r="AB118" i="1"/>
  <c r="AC118" i="1"/>
  <c r="AD118" i="1"/>
  <c r="AE118" i="1"/>
  <c r="AF118" i="1"/>
  <c r="AG118" i="1"/>
  <c r="AH118" i="1"/>
  <c r="Y119" i="1"/>
  <c r="Z119" i="1"/>
  <c r="AA119" i="1"/>
  <c r="AB119" i="1"/>
  <c r="AC119" i="1"/>
  <c r="AD119" i="1"/>
  <c r="AE119" i="1"/>
  <c r="AF119" i="1"/>
  <c r="AG119" i="1"/>
  <c r="AH119" i="1"/>
  <c r="Y120" i="1"/>
  <c r="Z120" i="1"/>
  <c r="AA120" i="1"/>
  <c r="AB120" i="1"/>
  <c r="AC120" i="1"/>
  <c r="AD120" i="1"/>
  <c r="AE120" i="1"/>
  <c r="AF120" i="1"/>
  <c r="AG120" i="1"/>
  <c r="AH120" i="1"/>
  <c r="Y121" i="1"/>
  <c r="Z121" i="1"/>
  <c r="AA121" i="1"/>
  <c r="AB121" i="1"/>
  <c r="AC121" i="1"/>
  <c r="AD121" i="1"/>
  <c r="AE121" i="1"/>
  <c r="AF121" i="1"/>
  <c r="AG121" i="1"/>
  <c r="AH121" i="1"/>
  <c r="Y122" i="1"/>
  <c r="Z122" i="1"/>
  <c r="AA122" i="1"/>
  <c r="AB122" i="1"/>
  <c r="AC122" i="1"/>
  <c r="AD122" i="1"/>
  <c r="AE122" i="1"/>
  <c r="AF122" i="1"/>
  <c r="AG122" i="1"/>
  <c r="AH122" i="1"/>
  <c r="Y123" i="1"/>
  <c r="Z123" i="1"/>
  <c r="AA123" i="1"/>
  <c r="AB123" i="1"/>
  <c r="AC123" i="1"/>
  <c r="AD123" i="1"/>
  <c r="AE123" i="1"/>
  <c r="AF123" i="1"/>
  <c r="AG123" i="1"/>
  <c r="AH123" i="1"/>
  <c r="Y124" i="1"/>
  <c r="Z124" i="1"/>
  <c r="AA124" i="1"/>
  <c r="AB124" i="1"/>
  <c r="AC124" i="1"/>
  <c r="AD124" i="1"/>
  <c r="AE124" i="1"/>
  <c r="AF124" i="1"/>
  <c r="AG124" i="1"/>
  <c r="AH124" i="1"/>
  <c r="Y125" i="1"/>
  <c r="Z125" i="1"/>
  <c r="AA125" i="1"/>
  <c r="AB125" i="1"/>
  <c r="AC125" i="1"/>
  <c r="AD125" i="1"/>
  <c r="AE125" i="1"/>
  <c r="AF125" i="1"/>
  <c r="AG125" i="1"/>
  <c r="AH125" i="1"/>
  <c r="Y126" i="1"/>
  <c r="Z126" i="1"/>
  <c r="AA126" i="1"/>
  <c r="AB126" i="1"/>
  <c r="AC126" i="1"/>
  <c r="AD126" i="1"/>
  <c r="AE126" i="1"/>
  <c r="AF126" i="1"/>
  <c r="AG126" i="1"/>
  <c r="AH126" i="1"/>
  <c r="Y127" i="1"/>
  <c r="Z127" i="1"/>
  <c r="AA127" i="1"/>
  <c r="AB127" i="1"/>
  <c r="AC127" i="1"/>
  <c r="AD127" i="1"/>
  <c r="AE127" i="1"/>
  <c r="AF127" i="1"/>
  <c r="AG127" i="1"/>
  <c r="AH127" i="1"/>
  <c r="Y128" i="1"/>
  <c r="Z128" i="1"/>
  <c r="AA128" i="1"/>
  <c r="AB128" i="1"/>
  <c r="AC128" i="1"/>
  <c r="AD128" i="1"/>
  <c r="AE128" i="1"/>
  <c r="AF128" i="1"/>
  <c r="AG128" i="1"/>
  <c r="AH128" i="1"/>
  <c r="Y129" i="1"/>
  <c r="Z129" i="1"/>
  <c r="AA129" i="1"/>
  <c r="AB129" i="1"/>
  <c r="AC129" i="1"/>
  <c r="AD129" i="1"/>
  <c r="AE129" i="1"/>
  <c r="AF129" i="1"/>
  <c r="AG129" i="1"/>
  <c r="AH129" i="1"/>
  <c r="Y130" i="1"/>
  <c r="Z130" i="1"/>
  <c r="AA130" i="1"/>
  <c r="AB130" i="1"/>
  <c r="AC130" i="1"/>
  <c r="AD130" i="1"/>
  <c r="AE130" i="1"/>
  <c r="AF130" i="1"/>
  <c r="AG130" i="1"/>
  <c r="AH130" i="1"/>
  <c r="Y131" i="1"/>
  <c r="Z131" i="1"/>
  <c r="AA131" i="1"/>
  <c r="AB131" i="1"/>
  <c r="AC131" i="1"/>
  <c r="AD131" i="1"/>
  <c r="AE131" i="1"/>
  <c r="AF131" i="1"/>
  <c r="AG131" i="1"/>
  <c r="AH131" i="1"/>
  <c r="Y132" i="1"/>
  <c r="Z132" i="1"/>
  <c r="AA132" i="1"/>
  <c r="AB132" i="1"/>
  <c r="AC132" i="1"/>
  <c r="AD132" i="1"/>
  <c r="AE132" i="1"/>
  <c r="AF132" i="1"/>
  <c r="AG132" i="1"/>
  <c r="AH132" i="1"/>
  <c r="Y133" i="1"/>
  <c r="Z133" i="1"/>
  <c r="AA133" i="1"/>
  <c r="AB133" i="1"/>
  <c r="AC133" i="1"/>
  <c r="AD133" i="1"/>
  <c r="AE133" i="1"/>
  <c r="AF133" i="1"/>
  <c r="AG133" i="1"/>
  <c r="AH133" i="1"/>
  <c r="Y134" i="1"/>
  <c r="Z134" i="1"/>
  <c r="AA134" i="1"/>
  <c r="AB134" i="1"/>
  <c r="AC134" i="1"/>
  <c r="AD134" i="1"/>
  <c r="AE134" i="1"/>
  <c r="AF134" i="1"/>
  <c r="AG134" i="1"/>
  <c r="AH134" i="1"/>
  <c r="Y135" i="1"/>
  <c r="Z135" i="1"/>
  <c r="AA135" i="1"/>
  <c r="AB135" i="1"/>
  <c r="AC135" i="1"/>
  <c r="AD135" i="1"/>
  <c r="AE135" i="1"/>
  <c r="AF135" i="1"/>
  <c r="AG135" i="1"/>
  <c r="AH135" i="1"/>
  <c r="Z3" i="1"/>
  <c r="AA3" i="1"/>
  <c r="AB3" i="1"/>
  <c r="AC3" i="1"/>
  <c r="AD3" i="1"/>
  <c r="AE3" i="1"/>
  <c r="AF3" i="1"/>
  <c r="AG3" i="1"/>
  <c r="AH3" i="1"/>
  <c r="Y3" i="1"/>
  <c r="AI2" i="1"/>
  <c r="Z2" i="1"/>
  <c r="AA2" i="1"/>
  <c r="AB2" i="1"/>
  <c r="AC2" i="1"/>
  <c r="AD2" i="1"/>
  <c r="AE2" i="1"/>
  <c r="AF2" i="1"/>
  <c r="AG2" i="1"/>
  <c r="AH2" i="1"/>
  <c r="Y2" i="1"/>
</calcChain>
</file>

<file path=xl/sharedStrings.xml><?xml version="1.0" encoding="utf-8"?>
<sst xmlns="http://schemas.openxmlformats.org/spreadsheetml/2006/main" count="161" uniqueCount="117">
  <si>
    <t>HCPCS_CODE</t>
  </si>
  <si>
    <t>Description</t>
  </si>
  <si>
    <t>B0_const</t>
  </si>
  <si>
    <t>B1_time</t>
  </si>
  <si>
    <t>B2_level</t>
  </si>
  <si>
    <t>B3_slope</t>
  </si>
  <si>
    <t>p_const</t>
  </si>
  <si>
    <t>p_time</t>
  </si>
  <si>
    <t>p_level</t>
  </si>
  <si>
    <t>p_slope</t>
  </si>
  <si>
    <t>R_squared</t>
  </si>
  <si>
    <t>BIC</t>
  </si>
  <si>
    <t>N_obs</t>
  </si>
  <si>
    <t>continuous cardiac monitoring and detection</t>
  </si>
  <si>
    <t>Coagulation interpretation/report</t>
  </si>
  <si>
    <t>Factor V Leiden</t>
  </si>
  <si>
    <t>Prothrombin gene mutation</t>
  </si>
  <si>
    <t>CRP</t>
  </si>
  <si>
    <t>Antithrombin III</t>
  </si>
  <si>
    <t>Beta-2 glycoprotein</t>
  </si>
  <si>
    <t xml:space="preserve"> Psychological or neuropsychological test administration and scoring each additional 30 minutes. </t>
  </si>
  <si>
    <t>Protein C / S</t>
  </si>
  <si>
    <t>ESR</t>
  </si>
  <si>
    <t>Anticardiolipin antibodies (IgG/IgM)</t>
  </si>
  <si>
    <t xml:space="preserve"> Developmental screening, per standardized instrument, with scoring and documentation. </t>
  </si>
  <si>
    <t>Platelet aggregation studies</t>
  </si>
  <si>
    <t>D-dimer</t>
  </si>
  <si>
    <t>Clotting factors (selective use)</t>
  </si>
  <si>
    <t>Sudomotor function (QSART)</t>
  </si>
  <si>
    <t>CBC</t>
  </si>
  <si>
    <t>Triglycerides</t>
  </si>
  <si>
    <t>Nerve conduction studies (depending on number of nerves tested)</t>
  </si>
  <si>
    <t xml:space="preserve"> Deleted; old code for developmental testing, per hour / extended developmental testing</t>
  </si>
  <si>
    <t>Rhythm ECG (limited, interpretation dependent)</t>
  </si>
  <si>
    <t>Holter monitor (24â€“48 hr ECG)</t>
  </si>
  <si>
    <t>Total knee replacement (arthroplasty)</t>
  </si>
  <si>
    <t>ANA</t>
  </si>
  <si>
    <t>ENA panel</t>
  </si>
  <si>
    <t>Comprehensive audiometry, including air, bone, and speech</t>
  </si>
  <si>
    <t>Tryptase</t>
  </si>
  <si>
    <t>complete transthoracic echocardiogram (TTE) for congenital cardiac anomalies</t>
  </si>
  <si>
    <t>C3</t>
  </si>
  <si>
    <t>Punch skin biopsy, each additional lesion</t>
  </si>
  <si>
    <t>Immunohistochemistry stains often used to visualize nerve fibers (e.g., PGP 9.5)</t>
  </si>
  <si>
    <t>Lipid Panel (Total, HDL, Triglycerides, and calculated LDL)</t>
  </si>
  <si>
    <t>Needle EMG</t>
  </si>
  <si>
    <t>ECG</t>
  </si>
  <si>
    <t>Tangential skin biopsy, single lesion</t>
  </si>
  <si>
    <t xml:space="preserve"> Psychological or neuropsychological test administration with single automated standardized instrument via electronic platform</t>
  </si>
  <si>
    <t>Echocardiogram</t>
  </si>
  <si>
    <t xml:space="preserve"> Psychological or neuropsychological test administration and scoring first 30 minutes. </t>
  </si>
  <si>
    <t>5-HIAA (sometimes used in differential)</t>
  </si>
  <si>
    <t>CT Chest</t>
  </si>
  <si>
    <t>EEG (if syncope vs seizure differentiation is needed)</t>
  </si>
  <si>
    <t>Tangential skin biopsy, each additional lesion</t>
  </si>
  <si>
    <t>abdominal ultrasound</t>
  </si>
  <si>
    <t xml:space="preserve"> Psychological testing evaluation services, each additional hour. </t>
  </si>
  <si>
    <t>CH50</t>
  </si>
  <si>
    <t xml:space="preserve"> Standardized cognitive performance testing, per hour. </t>
  </si>
  <si>
    <t xml:space="preserve"> Psychological or neuropsychological test administration and scoring by technician, first 30 minutes. </t>
  </si>
  <si>
    <t>Surgical pathology, gross and microscopic examination (nerve biopsy)</t>
  </si>
  <si>
    <t>Incisional skin biopsy, each additional lesion</t>
  </si>
  <si>
    <t xml:space="preserve"> Developmental test administration, first hour. </t>
  </si>
  <si>
    <t xml:space="preserve"> Neurobehavioral status exam, first hour. </t>
  </si>
  <si>
    <t>Quantitative autonomic function testing of parasympathetic and sympathetic functions</t>
  </si>
  <si>
    <t>cardiovascular magnetic resonance imaging</t>
  </si>
  <si>
    <t>Lipoprotein, direct measurement; high-density cholesterol (HDL)</t>
  </si>
  <si>
    <t>IgE (total)</t>
  </si>
  <si>
    <t>CD4/CD8 subsets</t>
  </si>
  <si>
    <t>EBV antibodies</t>
  </si>
  <si>
    <t xml:space="preserve"> Developmental test administration, each additional 30 minutes. </t>
  </si>
  <si>
    <t>Cardiovagal (heart rate variability with deep breathing)</t>
  </si>
  <si>
    <t>Â ClosedÂ treatmentÂ ofÂ aÂ distalÂ radialÂ fractureÂ withÂ manipulationÂ </t>
  </si>
  <si>
    <t>Tilt table test (with continuous monitoring)</t>
  </si>
  <si>
    <t>serology for Covid</t>
  </si>
  <si>
    <t xml:space="preserve"> Psychological testing evaluation services, first hour. </t>
  </si>
  <si>
    <t>Total cholesterol, serum</t>
  </si>
  <si>
    <t>Neuropsychological testing (sometimes used depending on setup)</t>
  </si>
  <si>
    <t>Pulse oximetry (spot / overnight, sometimes used adjunctively)</t>
  </si>
  <si>
    <t>Creatinine (needed for normalization)</t>
  </si>
  <si>
    <t>3.48E-310</t>
  </si>
  <si>
    <t>PT/INR</t>
  </si>
  <si>
    <t>Closed treatment of distal radius fracture; without manipulation</t>
  </si>
  <si>
    <t>Fibrinogen</t>
  </si>
  <si>
    <t>NK cells</t>
  </si>
  <si>
    <t>Distortion product otoacoustic emissions, comprehensive diagnostic evaluation</t>
  </si>
  <si>
    <t>Platelet function assay (PFA-100/200)</t>
  </si>
  <si>
    <t>Morphometric analysis for nerve density (specifically for intra-epidermal nerve fiber density)</t>
  </si>
  <si>
    <t>Closed treatment of clavicular fracture; without manipulation</t>
  </si>
  <si>
    <t>aPTT</t>
  </si>
  <si>
    <t>T cells (CD3)</t>
  </si>
  <si>
    <t>Arthroscopic shoulder surgical procedure for subacromial decompression</t>
  </si>
  <si>
    <t>Punch skin biopsy, single lesion</t>
  </si>
  <si>
    <t>Cardiac MRI</t>
  </si>
  <si>
    <t xml:space="preserve"> Neuropsychological testing evaluation services, first hour. </t>
  </si>
  <si>
    <t>Viral serologies (lab dependent)</t>
  </si>
  <si>
    <t>Tympanometry and acoustic reflex threshold measurements</t>
  </si>
  <si>
    <t>Closed treatment of distal fibular fracture; without manipulation</t>
  </si>
  <si>
    <t xml:space="preserve"> Brief emotional/behavioral assessment, per standardized instrument, with scoring and documentation. </t>
  </si>
  <si>
    <t>Incisional skin biopsy, single lesion</t>
  </si>
  <si>
    <t>Cardiac CTA</t>
  </si>
  <si>
    <t xml:space="preserve"> Neurobehavioral status exam, each additional hour. </t>
  </si>
  <si>
    <t>C4</t>
  </si>
  <si>
    <t>Pure tone audiogram</t>
  </si>
  <si>
    <t>N-protein</t>
  </si>
  <si>
    <t>Closed treatment of metatarsal fracture; without manipulation</t>
  </si>
  <si>
    <t xml:space="preserve"> Psychological or neuropsychological test administration and scoring by technician, each additional 30 minutes. </t>
  </si>
  <si>
    <t>Vasomotor adrenergic function (e.g., BP response to Valsalva or tilt)</t>
  </si>
  <si>
    <t xml:space="preserve"> Neuropsychological testing evaluation services, each additional hour. </t>
  </si>
  <si>
    <t>Arthroscopic shoulder rotator cuff repair</t>
  </si>
  <si>
    <t>Combined assessment of the autonomic nervous system</t>
  </si>
  <si>
    <t>Prostaglandin D2 (lab-dependent methodology)</t>
  </si>
  <si>
    <t>comprehensive tinnitus assessment</t>
  </si>
  <si>
    <t>lumbar puncture</t>
  </si>
  <si>
    <t>With March-May 2020</t>
  </si>
  <si>
    <t>Without March-May 2020</t>
  </si>
  <si>
    <t>Deltas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</si>
</sst>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78401-7753-4C55-A958-706CDC012CD1}">
  <dimension ref="A1:AI175"/>
  <sheetViews>
    <sheetView tabSelected="1" workbookViewId="0">
      <selection sqref="A1:A2"/>
    </sheetView>
  </sheetViews>
  <sheetFormatPr defaultRowHeight="15" x14ac:dyDescent="0.25"/>
  <cols>
    <col min="1" max="1" width="12.42578125" bestFit="1" customWidth="1"/>
    <col min="2" max="2" width="116.7109375" bestFit="1" customWidth="1"/>
    <col min="3" max="3" width="12" bestFit="1" customWidth="1"/>
    <col min="4" max="4" width="10" bestFit="1" customWidth="1"/>
    <col min="5" max="5" width="12" bestFit="1" customWidth="1"/>
    <col min="6" max="6" width="10.7109375" bestFit="1" customWidth="1"/>
    <col min="7" max="7" width="11.42578125" customWidth="1"/>
    <col min="8" max="9" width="8.28515625" bestFit="1" customWidth="1"/>
    <col min="10" max="10" width="10.140625" customWidth="1"/>
    <col min="11" max="11" width="10.28515625" bestFit="1" customWidth="1"/>
    <col min="12" max="12" width="10" bestFit="1" customWidth="1"/>
    <col min="13" max="13" width="6.5703125" bestFit="1" customWidth="1"/>
    <col min="14" max="14" width="12" bestFit="1" customWidth="1"/>
    <col min="15" max="15" width="11" bestFit="1" customWidth="1"/>
    <col min="16" max="16" width="12" bestFit="1" customWidth="1"/>
    <col min="17" max="17" width="11.7109375" bestFit="1" customWidth="1"/>
    <col min="18" max="18" width="9.28515625" bestFit="1" customWidth="1"/>
    <col min="19" max="20" width="8.28515625" bestFit="1" customWidth="1"/>
    <col min="21" max="21" width="10" customWidth="1"/>
    <col min="22" max="22" width="10.28515625" bestFit="1" customWidth="1"/>
    <col min="23" max="23" width="10" bestFit="1" customWidth="1"/>
    <col min="24" max="24" width="6.5703125" bestFit="1" customWidth="1"/>
    <col min="25" max="25" width="14.42578125" bestFit="1" customWidth="1"/>
    <col min="26" max="26" width="13.42578125" bestFit="1" customWidth="1"/>
    <col min="27" max="27" width="13.5703125" bestFit="1" customWidth="1"/>
    <col min="28" max="28" width="14.42578125" bestFit="1" customWidth="1"/>
    <col min="29" max="29" width="13.42578125" bestFit="1" customWidth="1"/>
    <col min="30" max="30" width="12.28515625" bestFit="1" customWidth="1"/>
    <col min="31" max="31" width="12.42578125" bestFit="1" customWidth="1"/>
    <col min="32" max="32" width="13.42578125" bestFit="1" customWidth="1"/>
    <col min="33" max="33" width="15.85546875" bestFit="1" customWidth="1"/>
    <col min="34" max="34" width="9.28515625" bestFit="1" customWidth="1"/>
    <col min="35" max="35" width="12" bestFit="1" customWidth="1"/>
  </cols>
  <sheetData>
    <row r="1" spans="1:35" x14ac:dyDescent="0.25">
      <c r="A1" s="2" t="s">
        <v>0</v>
      </c>
      <c r="B1" s="2" t="s">
        <v>1</v>
      </c>
      <c r="C1" s="2" t="s">
        <v>114</v>
      </c>
      <c r="D1" s="2"/>
      <c r="E1" s="2"/>
      <c r="F1" s="2"/>
      <c r="G1" s="2"/>
      <c r="H1" s="2"/>
      <c r="I1" s="2"/>
      <c r="J1" s="2"/>
      <c r="K1" s="2"/>
      <c r="L1" s="2"/>
      <c r="M1" s="2"/>
      <c r="N1" s="2" t="s">
        <v>115</v>
      </c>
      <c r="O1" s="2"/>
      <c r="P1" s="2"/>
      <c r="Q1" s="2"/>
      <c r="R1" s="2"/>
      <c r="S1" s="2"/>
      <c r="T1" s="2"/>
      <c r="U1" s="2"/>
      <c r="V1" s="2"/>
      <c r="W1" s="2"/>
      <c r="X1" s="2"/>
      <c r="Y1" s="2" t="s">
        <v>116</v>
      </c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x14ac:dyDescent="0.25">
      <c r="A2" s="2"/>
      <c r="B2" s="2"/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2</v>
      </c>
      <c r="O2" s="3" t="s">
        <v>3</v>
      </c>
      <c r="P2" s="3" t="s">
        <v>4</v>
      </c>
      <c r="Q2" s="3" t="s">
        <v>5</v>
      </c>
      <c r="R2" s="3" t="s">
        <v>6</v>
      </c>
      <c r="S2" s="3" t="s">
        <v>7</v>
      </c>
      <c r="T2" s="3" t="s">
        <v>8</v>
      </c>
      <c r="U2" s="3" t="s">
        <v>9</v>
      </c>
      <c r="V2" s="3" t="s">
        <v>10</v>
      </c>
      <c r="W2" s="3" t="s">
        <v>11</v>
      </c>
      <c r="X2" s="3" t="s">
        <v>12</v>
      </c>
      <c r="Y2" t="str">
        <f>_xlfn.CONCAT("Delta_",N2)</f>
        <v>Delta_B0_const</v>
      </c>
      <c r="Z2" t="str">
        <f t="shared" ref="Z2:AH2" si="0">_xlfn.CONCAT("Delta_",O2)</f>
        <v>Delta_B1_time</v>
      </c>
      <c r="AA2" t="str">
        <f t="shared" si="0"/>
        <v>Delta_B2_level</v>
      </c>
      <c r="AB2" t="str">
        <f t="shared" si="0"/>
        <v>Delta_B3_slope</v>
      </c>
      <c r="AC2" t="str">
        <f t="shared" si="0"/>
        <v>Delta_p_const</v>
      </c>
      <c r="AD2" t="str">
        <f t="shared" si="0"/>
        <v>Delta_p_time</v>
      </c>
      <c r="AE2" t="str">
        <f t="shared" si="0"/>
        <v>Delta_p_level</v>
      </c>
      <c r="AF2" t="str">
        <f t="shared" si="0"/>
        <v>Delta_p_slope</v>
      </c>
      <c r="AG2" t="str">
        <f t="shared" si="0"/>
        <v>Delta_R_squared</v>
      </c>
      <c r="AH2" t="str">
        <f t="shared" si="0"/>
        <v>Delta_BIC</v>
      </c>
      <c r="AI2" t="str">
        <f>_xlfn.CONCAT("Delta_",X2)</f>
        <v>Delta_N_obs</v>
      </c>
    </row>
    <row r="3" spans="1:35" x14ac:dyDescent="0.25">
      <c r="A3">
        <v>93247</v>
      </c>
      <c r="B3" t="s">
        <v>13</v>
      </c>
      <c r="C3">
        <v>0</v>
      </c>
      <c r="D3">
        <v>-857.30499999999995</v>
      </c>
      <c r="E3">
        <v>1792.9227000000001</v>
      </c>
      <c r="F3">
        <v>935.61770000000001</v>
      </c>
      <c r="G3">
        <v>0</v>
      </c>
      <c r="H3" s="1">
        <v>1.4500000000000001E-76</v>
      </c>
      <c r="I3" s="1">
        <v>1.11E-94</v>
      </c>
      <c r="J3" s="1">
        <v>2.7899999999999999E-117</v>
      </c>
      <c r="K3">
        <v>0.80210000000000004</v>
      </c>
      <c r="L3">
        <v>643.76800000000003</v>
      </c>
      <c r="M3">
        <v>42</v>
      </c>
      <c r="N3">
        <v>0</v>
      </c>
      <c r="O3">
        <v>-857.30499999999995</v>
      </c>
      <c r="P3">
        <v>1792.9227000000001</v>
      </c>
      <c r="Q3">
        <v>935.61770000000001</v>
      </c>
      <c r="R3">
        <v>0</v>
      </c>
      <c r="S3" s="1">
        <v>1.4500000000000001E-76</v>
      </c>
      <c r="T3" s="1">
        <v>1.11E-94</v>
      </c>
      <c r="U3" s="1">
        <v>2.7899999999999999E-117</v>
      </c>
      <c r="V3">
        <v>0.80210000000000004</v>
      </c>
      <c r="W3">
        <v>643.76800000000003</v>
      </c>
      <c r="X3">
        <v>42</v>
      </c>
      <c r="Y3">
        <f>C3-N3</f>
        <v>0</v>
      </c>
      <c r="Z3">
        <f t="shared" ref="Z3:AH3" si="1">D3-O3</f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>M3-X3</f>
        <v>0</v>
      </c>
    </row>
    <row r="4" spans="1:35" x14ac:dyDescent="0.25">
      <c r="A4">
        <v>93243</v>
      </c>
      <c r="B4" t="s">
        <v>13</v>
      </c>
      <c r="C4">
        <v>0</v>
      </c>
      <c r="D4">
        <v>-692.48810000000003</v>
      </c>
      <c r="E4">
        <v>1483.4666</v>
      </c>
      <c r="F4">
        <v>790.97860000000003</v>
      </c>
      <c r="G4">
        <v>0</v>
      </c>
      <c r="H4" s="1">
        <v>5.4400000000000002E-49</v>
      </c>
      <c r="I4" s="1">
        <v>5.04E-63</v>
      </c>
      <c r="J4" s="1">
        <v>9.4700000000000007E-81</v>
      </c>
      <c r="K4">
        <v>0.84970000000000001</v>
      </c>
      <c r="L4">
        <v>649.05340000000001</v>
      </c>
      <c r="M4">
        <v>42</v>
      </c>
      <c r="N4">
        <v>0</v>
      </c>
      <c r="O4">
        <v>-692.48810000000003</v>
      </c>
      <c r="P4">
        <v>1483.4666</v>
      </c>
      <c r="Q4">
        <v>790.97860000000003</v>
      </c>
      <c r="R4">
        <v>0</v>
      </c>
      <c r="S4" s="1">
        <v>5.4400000000000002E-49</v>
      </c>
      <c r="T4" s="1">
        <v>5.04E-63</v>
      </c>
      <c r="U4" s="1">
        <v>9.4700000000000007E-81</v>
      </c>
      <c r="V4">
        <v>0.84970000000000001</v>
      </c>
      <c r="W4">
        <v>649.05340000000001</v>
      </c>
      <c r="X4">
        <v>42</v>
      </c>
      <c r="Y4">
        <f t="shared" ref="Y4:Y67" si="2">C4-N4</f>
        <v>0</v>
      </c>
      <c r="Z4">
        <f t="shared" ref="Z4:Z67" si="3">D4-O4</f>
        <v>0</v>
      </c>
      <c r="AA4">
        <f t="shared" ref="AA4:AA67" si="4">E4-P4</f>
        <v>0</v>
      </c>
      <c r="AB4">
        <f t="shared" ref="AB4:AB67" si="5">F4-Q4</f>
        <v>0</v>
      </c>
      <c r="AC4">
        <f t="shared" ref="AC4:AC67" si="6">G4-R4</f>
        <v>0</v>
      </c>
      <c r="AD4">
        <f t="shared" ref="AD4:AD67" si="7">H4-S4</f>
        <v>0</v>
      </c>
      <c r="AE4">
        <f t="shared" ref="AE4:AE67" si="8">I4-T4</f>
        <v>0</v>
      </c>
      <c r="AF4">
        <f t="shared" ref="AF4:AF67" si="9">J4-U4</f>
        <v>0</v>
      </c>
      <c r="AG4">
        <f t="shared" ref="AG4:AG67" si="10">K4-V4</f>
        <v>0</v>
      </c>
      <c r="AH4">
        <f t="shared" ref="AH4:AI67" si="11">L4-W4</f>
        <v>0</v>
      </c>
      <c r="AI4">
        <f t="shared" si="11"/>
        <v>0</v>
      </c>
    </row>
    <row r="5" spans="1:35" x14ac:dyDescent="0.25">
      <c r="A5">
        <v>93246</v>
      </c>
      <c r="B5" t="s">
        <v>13</v>
      </c>
      <c r="C5">
        <v>0</v>
      </c>
      <c r="D5">
        <v>-129.9846</v>
      </c>
      <c r="E5">
        <v>300.5532</v>
      </c>
      <c r="F5">
        <v>170.5686</v>
      </c>
      <c r="G5">
        <v>0</v>
      </c>
      <c r="H5" s="1">
        <v>6.9799999999999997E-10</v>
      </c>
      <c r="I5" s="1">
        <v>2.8199999999999999E-14</v>
      </c>
      <c r="J5" s="1">
        <v>2.6400000000000001E-20</v>
      </c>
      <c r="K5">
        <v>0.83130000000000004</v>
      </c>
      <c r="L5">
        <v>580.33429999999998</v>
      </c>
      <c r="M5">
        <v>42</v>
      </c>
      <c r="N5">
        <v>0</v>
      </c>
      <c r="O5">
        <v>-129.9846</v>
      </c>
      <c r="P5">
        <v>300.5532</v>
      </c>
      <c r="Q5">
        <v>170.5686</v>
      </c>
      <c r="R5">
        <v>0</v>
      </c>
      <c r="S5" s="1">
        <v>6.9799999999999997E-10</v>
      </c>
      <c r="T5" s="1">
        <v>2.8199999999999999E-14</v>
      </c>
      <c r="U5" s="1">
        <v>2.6400000000000001E-20</v>
      </c>
      <c r="V5">
        <v>0.83130000000000004</v>
      </c>
      <c r="W5">
        <v>580.33429999999998</v>
      </c>
      <c r="X5">
        <v>42</v>
      </c>
      <c r="Y5">
        <f t="shared" si="2"/>
        <v>0</v>
      </c>
      <c r="Z5">
        <f t="shared" si="3"/>
        <v>0</v>
      </c>
      <c r="AA5">
        <f t="shared" si="4"/>
        <v>0</v>
      </c>
      <c r="AB5">
        <f t="shared" si="5"/>
        <v>0</v>
      </c>
      <c r="AC5">
        <f t="shared" si="6"/>
        <v>0</v>
      </c>
      <c r="AD5">
        <f t="shared" si="7"/>
        <v>0</v>
      </c>
      <c r="AE5">
        <f t="shared" si="8"/>
        <v>0</v>
      </c>
      <c r="AF5">
        <f t="shared" si="9"/>
        <v>0</v>
      </c>
      <c r="AG5">
        <f t="shared" si="10"/>
        <v>0</v>
      </c>
      <c r="AH5">
        <f t="shared" si="11"/>
        <v>0</v>
      </c>
      <c r="AI5">
        <f t="shared" si="11"/>
        <v>0</v>
      </c>
    </row>
    <row r="6" spans="1:35" x14ac:dyDescent="0.25">
      <c r="A6">
        <v>93248</v>
      </c>
      <c r="B6" t="s">
        <v>13</v>
      </c>
      <c r="C6">
        <v>0</v>
      </c>
      <c r="D6">
        <v>-132.30109999999999</v>
      </c>
      <c r="E6">
        <v>310.33769999999998</v>
      </c>
      <c r="F6">
        <v>178.03659999999999</v>
      </c>
      <c r="G6">
        <v>0</v>
      </c>
      <c r="H6" s="1">
        <v>8.3500000000000005E-7</v>
      </c>
      <c r="I6" s="1">
        <v>9.4099999999999996E-10</v>
      </c>
      <c r="J6" s="1">
        <v>9.4599999999999996E-14</v>
      </c>
      <c r="K6">
        <v>0.80569999999999997</v>
      </c>
      <c r="L6">
        <v>597.63160000000005</v>
      </c>
      <c r="M6">
        <v>42</v>
      </c>
      <c r="N6">
        <v>0</v>
      </c>
      <c r="O6">
        <v>-132.30109999999999</v>
      </c>
      <c r="P6">
        <v>310.33769999999998</v>
      </c>
      <c r="Q6">
        <v>178.03659999999999</v>
      </c>
      <c r="R6">
        <v>0</v>
      </c>
      <c r="S6" s="1">
        <v>8.3500000000000005E-7</v>
      </c>
      <c r="T6" s="1">
        <v>9.4099999999999996E-10</v>
      </c>
      <c r="U6" s="1">
        <v>9.4599999999999996E-14</v>
      </c>
      <c r="V6">
        <v>0.80569999999999997</v>
      </c>
      <c r="W6">
        <v>597.63160000000005</v>
      </c>
      <c r="X6">
        <v>42</v>
      </c>
      <c r="Y6">
        <f t="shared" si="2"/>
        <v>0</v>
      </c>
      <c r="Z6">
        <f t="shared" si="3"/>
        <v>0</v>
      </c>
      <c r="AA6">
        <f t="shared" si="4"/>
        <v>0</v>
      </c>
      <c r="AB6">
        <f t="shared" si="5"/>
        <v>0</v>
      </c>
      <c r="AC6">
        <f t="shared" si="6"/>
        <v>0</v>
      </c>
      <c r="AD6">
        <f t="shared" si="7"/>
        <v>0</v>
      </c>
      <c r="AE6">
        <f t="shared" si="8"/>
        <v>0</v>
      </c>
      <c r="AF6">
        <f t="shared" si="9"/>
        <v>0</v>
      </c>
      <c r="AG6">
        <f t="shared" si="10"/>
        <v>0</v>
      </c>
      <c r="AH6">
        <f t="shared" si="11"/>
        <v>0</v>
      </c>
      <c r="AI6">
        <f t="shared" si="11"/>
        <v>0</v>
      </c>
    </row>
    <row r="7" spans="1:35" x14ac:dyDescent="0.25">
      <c r="A7">
        <v>93244</v>
      </c>
      <c r="B7" t="s">
        <v>13</v>
      </c>
      <c r="C7">
        <v>0</v>
      </c>
      <c r="D7">
        <v>-65.889099999999999</v>
      </c>
      <c r="E7">
        <v>169.0342</v>
      </c>
      <c r="F7">
        <v>103.1452</v>
      </c>
      <c r="G7">
        <v>0</v>
      </c>
      <c r="H7" s="1">
        <v>1.6399999999999999E-5</v>
      </c>
      <c r="I7" s="1">
        <v>4.1400000000000002E-9</v>
      </c>
      <c r="J7" s="1">
        <v>2.38E-14</v>
      </c>
      <c r="K7">
        <v>0.79620000000000002</v>
      </c>
      <c r="L7">
        <v>582.89610000000005</v>
      </c>
      <c r="M7">
        <v>42</v>
      </c>
      <c r="N7">
        <v>0</v>
      </c>
      <c r="O7">
        <v>-65.889099999999999</v>
      </c>
      <c r="P7">
        <v>169.0342</v>
      </c>
      <c r="Q7">
        <v>103.1452</v>
      </c>
      <c r="R7">
        <v>0</v>
      </c>
      <c r="S7" s="1">
        <v>1.6399999999999999E-5</v>
      </c>
      <c r="T7" s="1">
        <v>4.1400000000000002E-9</v>
      </c>
      <c r="U7" s="1">
        <v>2.38E-14</v>
      </c>
      <c r="V7">
        <v>0.79620000000000002</v>
      </c>
      <c r="W7">
        <v>582.89610000000005</v>
      </c>
      <c r="X7">
        <v>42</v>
      </c>
      <c r="Y7">
        <f t="shared" si="2"/>
        <v>0</v>
      </c>
      <c r="Z7">
        <f t="shared" si="3"/>
        <v>0</v>
      </c>
      <c r="AA7">
        <f t="shared" si="4"/>
        <v>0</v>
      </c>
      <c r="AB7">
        <f t="shared" si="5"/>
        <v>0</v>
      </c>
      <c r="AC7">
        <f t="shared" si="6"/>
        <v>0</v>
      </c>
      <c r="AD7">
        <f t="shared" si="7"/>
        <v>0</v>
      </c>
      <c r="AE7">
        <f t="shared" si="8"/>
        <v>0</v>
      </c>
      <c r="AF7">
        <f t="shared" si="9"/>
        <v>0</v>
      </c>
      <c r="AG7">
        <f t="shared" si="10"/>
        <v>0</v>
      </c>
      <c r="AH7">
        <f t="shared" si="11"/>
        <v>0</v>
      </c>
      <c r="AI7">
        <f t="shared" si="11"/>
        <v>0</v>
      </c>
    </row>
    <row r="8" spans="1:35" x14ac:dyDescent="0.25">
      <c r="A8">
        <v>85390</v>
      </c>
      <c r="B8" t="s">
        <v>14</v>
      </c>
      <c r="C8">
        <v>644.04499999999996</v>
      </c>
      <c r="D8">
        <v>43.530799999999999</v>
      </c>
      <c r="E8">
        <v>1272.0891999999999</v>
      </c>
      <c r="F8">
        <v>-48.8628</v>
      </c>
      <c r="G8" s="1">
        <v>5.7200000000000003E-8</v>
      </c>
      <c r="H8" s="1">
        <v>2.0899999999999999E-6</v>
      </c>
      <c r="I8" s="1">
        <v>1.5300000000000001E-8</v>
      </c>
      <c r="J8" s="1">
        <v>5.6400000000000002E-7</v>
      </c>
      <c r="K8">
        <v>0.91390000000000005</v>
      </c>
      <c r="L8">
        <v>1133.1189999999999</v>
      </c>
      <c r="M8">
        <v>78</v>
      </c>
      <c r="N8">
        <v>616.95370000000003</v>
      </c>
      <c r="O8">
        <v>49.9328</v>
      </c>
      <c r="P8">
        <v>1224.9069</v>
      </c>
      <c r="Q8">
        <v>-55.264899999999997</v>
      </c>
      <c r="R8" s="1">
        <v>1.1400000000000001E-6</v>
      </c>
      <c r="S8" s="1">
        <v>1.13E-6</v>
      </c>
      <c r="T8" s="1">
        <v>6.3300000000000004E-8</v>
      </c>
      <c r="U8" s="1">
        <v>3.2000000000000001E-7</v>
      </c>
      <c r="V8">
        <v>0.9153</v>
      </c>
      <c r="W8">
        <v>1087.7275999999999</v>
      </c>
      <c r="X8">
        <v>75</v>
      </c>
      <c r="Y8">
        <f t="shared" si="2"/>
        <v>27.091299999999933</v>
      </c>
      <c r="Z8">
        <f t="shared" si="3"/>
        <v>-6.402000000000001</v>
      </c>
      <c r="AA8">
        <f t="shared" si="4"/>
        <v>47.182299999999941</v>
      </c>
      <c r="AB8">
        <f t="shared" si="5"/>
        <v>6.4020999999999972</v>
      </c>
      <c r="AC8">
        <f t="shared" si="6"/>
        <v>-1.0828E-6</v>
      </c>
      <c r="AD8">
        <f t="shared" si="7"/>
        <v>9.5999999999999991E-7</v>
      </c>
      <c r="AE8">
        <f t="shared" si="8"/>
        <v>-4.8000000000000006E-8</v>
      </c>
      <c r="AF8">
        <f t="shared" si="9"/>
        <v>2.4400000000000001E-7</v>
      </c>
      <c r="AG8">
        <f t="shared" si="10"/>
        <v>-1.3999999999999568E-3</v>
      </c>
      <c r="AH8">
        <f t="shared" si="11"/>
        <v>45.391399999999976</v>
      </c>
      <c r="AI8">
        <f t="shared" si="11"/>
        <v>3</v>
      </c>
    </row>
    <row r="9" spans="1:35" x14ac:dyDescent="0.25">
      <c r="A9">
        <v>81241</v>
      </c>
      <c r="B9" t="s">
        <v>15</v>
      </c>
      <c r="C9">
        <v>1910.3153</v>
      </c>
      <c r="D9">
        <v>-20.127500000000001</v>
      </c>
      <c r="E9">
        <v>607.39139999999998</v>
      </c>
      <c r="F9">
        <v>11.4208</v>
      </c>
      <c r="G9" s="1">
        <v>5.9900000000000001E-259</v>
      </c>
      <c r="H9" s="1">
        <v>4.7799999999999996E-9</v>
      </c>
      <c r="I9" s="1">
        <v>2.6400000000000001E-8</v>
      </c>
      <c r="J9">
        <v>9.2999999999999992E-3</v>
      </c>
      <c r="K9">
        <v>0.37990000000000002</v>
      </c>
      <c r="L9">
        <v>1073.8171</v>
      </c>
      <c r="M9">
        <v>78</v>
      </c>
      <c r="N9">
        <v>1896.6987999999999</v>
      </c>
      <c r="O9">
        <v>-18.024699999999999</v>
      </c>
      <c r="P9">
        <v>493.33539999999999</v>
      </c>
      <c r="Q9">
        <v>9.3179999999999996</v>
      </c>
      <c r="R9" s="1">
        <v>3.1899999999999999E-276</v>
      </c>
      <c r="S9" s="1">
        <v>5.2400000000000005E-10</v>
      </c>
      <c r="T9" s="1">
        <v>1.4699999999999999E-8</v>
      </c>
      <c r="U9">
        <v>2.2200000000000001E-2</v>
      </c>
      <c r="V9">
        <v>0.33289999999999997</v>
      </c>
      <c r="W9">
        <v>1022.2326</v>
      </c>
      <c r="X9">
        <v>75</v>
      </c>
      <c r="Y9">
        <f t="shared" si="2"/>
        <v>13.616500000000087</v>
      </c>
      <c r="Z9">
        <f t="shared" si="3"/>
        <v>-2.102800000000002</v>
      </c>
      <c r="AA9">
        <f t="shared" si="4"/>
        <v>114.05599999999998</v>
      </c>
      <c r="AB9">
        <f t="shared" si="5"/>
        <v>2.1028000000000002</v>
      </c>
      <c r="AC9">
        <f t="shared" si="6"/>
        <v>5.9900000000000001E-259</v>
      </c>
      <c r="AD9">
        <f t="shared" si="7"/>
        <v>4.2559999999999994E-9</v>
      </c>
      <c r="AE9">
        <f t="shared" si="8"/>
        <v>1.1700000000000002E-8</v>
      </c>
      <c r="AF9">
        <f t="shared" si="9"/>
        <v>-1.2900000000000002E-2</v>
      </c>
      <c r="AG9">
        <f t="shared" si="10"/>
        <v>4.7000000000000042E-2</v>
      </c>
      <c r="AH9">
        <f t="shared" si="11"/>
        <v>51.584499999999935</v>
      </c>
      <c r="AI9">
        <f t="shared" si="11"/>
        <v>3</v>
      </c>
    </row>
    <row r="10" spans="1:35" x14ac:dyDescent="0.25">
      <c r="A10">
        <v>81240</v>
      </c>
      <c r="B10" t="s">
        <v>16</v>
      </c>
      <c r="C10">
        <v>1581.4894999999999</v>
      </c>
      <c r="D10">
        <v>-22.074000000000002</v>
      </c>
      <c r="E10">
        <v>428.73939999999999</v>
      </c>
      <c r="F10">
        <v>16.909199999999998</v>
      </c>
      <c r="G10" s="1">
        <v>1.8399999999999998E-272</v>
      </c>
      <c r="H10" s="1">
        <v>3.2199999999999999E-15</v>
      </c>
      <c r="I10" s="1">
        <v>1.19E-6</v>
      </c>
      <c r="J10" s="1">
        <v>2.3300000000000001E-6</v>
      </c>
      <c r="K10">
        <v>0.50319999999999998</v>
      </c>
      <c r="L10">
        <v>1035.2360000000001</v>
      </c>
      <c r="M10">
        <v>78</v>
      </c>
      <c r="N10">
        <v>1576.5062</v>
      </c>
      <c r="O10">
        <v>-21.154699999999998</v>
      </c>
      <c r="P10">
        <v>338.08440000000002</v>
      </c>
      <c r="Q10">
        <v>15.9899</v>
      </c>
      <c r="R10" s="1">
        <v>1.4400000000000001E-283</v>
      </c>
      <c r="S10" s="1">
        <v>4.37E-17</v>
      </c>
      <c r="T10" s="1">
        <v>5.0300000000000001E-6</v>
      </c>
      <c r="U10" s="1">
        <v>2.9100000000000001E-6</v>
      </c>
      <c r="V10">
        <v>0.48480000000000001</v>
      </c>
      <c r="W10">
        <v>988.27070000000003</v>
      </c>
      <c r="X10">
        <v>75</v>
      </c>
      <c r="Y10">
        <f t="shared" si="2"/>
        <v>4.9832999999998719</v>
      </c>
      <c r="Z10">
        <f t="shared" si="3"/>
        <v>-0.91930000000000334</v>
      </c>
      <c r="AA10">
        <f t="shared" si="4"/>
        <v>90.654999999999973</v>
      </c>
      <c r="AB10">
        <f t="shared" si="5"/>
        <v>0.91929999999999801</v>
      </c>
      <c r="AC10">
        <f t="shared" si="6"/>
        <v>1.8399999999855998E-272</v>
      </c>
      <c r="AD10">
        <f t="shared" si="7"/>
        <v>3.1763E-15</v>
      </c>
      <c r="AE10">
        <f t="shared" si="8"/>
        <v>-3.8400000000000005E-6</v>
      </c>
      <c r="AF10">
        <f t="shared" si="9"/>
        <v>-5.7999999999999995E-7</v>
      </c>
      <c r="AG10">
        <f t="shared" si="10"/>
        <v>1.8399999999999972E-2</v>
      </c>
      <c r="AH10">
        <f t="shared" si="11"/>
        <v>46.96530000000007</v>
      </c>
      <c r="AI10">
        <f t="shared" si="11"/>
        <v>3</v>
      </c>
    </row>
    <row r="11" spans="1:35" x14ac:dyDescent="0.25">
      <c r="A11">
        <v>86140</v>
      </c>
      <c r="B11" t="s">
        <v>17</v>
      </c>
      <c r="C11">
        <v>144714.30179999999</v>
      </c>
      <c r="D11">
        <v>1729.2256</v>
      </c>
      <c r="E11">
        <v>47514.5242</v>
      </c>
      <c r="F11">
        <v>-1568.0454999999999</v>
      </c>
      <c r="G11" s="1">
        <v>9.7300000000000005E-269</v>
      </c>
      <c r="H11" s="1">
        <v>1.4499999999999999E-7</v>
      </c>
      <c r="I11" s="1">
        <v>1.77E-6</v>
      </c>
      <c r="J11" s="1">
        <v>6.4800000000000003E-5</v>
      </c>
      <c r="K11">
        <v>0.84730000000000005</v>
      </c>
      <c r="L11">
        <v>1766.9908</v>
      </c>
      <c r="M11">
        <v>78</v>
      </c>
      <c r="N11">
        <v>140924.51519999999</v>
      </c>
      <c r="O11">
        <v>2283.8238999999999</v>
      </c>
      <c r="P11">
        <v>38744.8436</v>
      </c>
      <c r="Q11">
        <v>-2122.6437000000001</v>
      </c>
      <c r="R11" s="1">
        <v>3.64E-245</v>
      </c>
      <c r="S11" s="1">
        <v>2.78E-30</v>
      </c>
      <c r="T11" s="1">
        <v>4.1199999999999997E-11</v>
      </c>
      <c r="U11" s="1">
        <v>5.6000000000000004E-13</v>
      </c>
      <c r="V11">
        <v>0.87970000000000004</v>
      </c>
      <c r="W11">
        <v>1676.5994000000001</v>
      </c>
      <c r="X11">
        <v>75</v>
      </c>
      <c r="Y11">
        <f t="shared" si="2"/>
        <v>3789.7865999999922</v>
      </c>
      <c r="Z11">
        <f t="shared" si="3"/>
        <v>-554.59829999999988</v>
      </c>
      <c r="AA11">
        <f t="shared" si="4"/>
        <v>8769.6805999999997</v>
      </c>
      <c r="AB11">
        <f t="shared" si="5"/>
        <v>554.59820000000013</v>
      </c>
      <c r="AC11">
        <f t="shared" si="6"/>
        <v>-3.64E-245</v>
      </c>
      <c r="AD11">
        <f t="shared" si="7"/>
        <v>1.4499999999999999E-7</v>
      </c>
      <c r="AE11">
        <f t="shared" si="8"/>
        <v>1.7699588E-6</v>
      </c>
      <c r="AF11">
        <f t="shared" si="9"/>
        <v>6.4799999439999999E-5</v>
      </c>
      <c r="AG11">
        <f t="shared" si="10"/>
        <v>-3.2399999999999984E-2</v>
      </c>
      <c r="AH11">
        <f t="shared" si="11"/>
        <v>90.391399999999976</v>
      </c>
      <c r="AI11">
        <f t="shared" si="11"/>
        <v>3</v>
      </c>
    </row>
    <row r="12" spans="1:35" x14ac:dyDescent="0.25">
      <c r="A12">
        <v>85300</v>
      </c>
      <c r="B12" t="s">
        <v>18</v>
      </c>
      <c r="C12">
        <v>598.57960000000003</v>
      </c>
      <c r="D12">
        <v>9.4017999999999997</v>
      </c>
      <c r="E12">
        <v>340.61869999999999</v>
      </c>
      <c r="F12">
        <v>-12.546799999999999</v>
      </c>
      <c r="G12" s="1">
        <v>4.7599999999999998E-124</v>
      </c>
      <c r="H12" s="1">
        <v>9.4699999999999998E-5</v>
      </c>
      <c r="I12" s="1">
        <v>2.4099999999999998E-6</v>
      </c>
      <c r="J12" s="1">
        <v>7.1400000000000002E-6</v>
      </c>
      <c r="K12">
        <v>0.75780000000000003</v>
      </c>
      <c r="L12">
        <v>997.94439999999997</v>
      </c>
      <c r="M12">
        <v>78</v>
      </c>
      <c r="N12">
        <v>577.42600000000004</v>
      </c>
      <c r="O12">
        <v>12.5548</v>
      </c>
      <c r="P12">
        <v>289.0813</v>
      </c>
      <c r="Q12">
        <v>-15.6999</v>
      </c>
      <c r="R12" s="1">
        <v>2.18E-118</v>
      </c>
      <c r="S12" s="1">
        <v>7.4400000000000006E-12</v>
      </c>
      <c r="T12" s="1">
        <v>2.2600000000000001E-8</v>
      </c>
      <c r="U12" s="1">
        <v>2.1799999999999998E-11</v>
      </c>
      <c r="V12">
        <v>0.79320000000000002</v>
      </c>
      <c r="W12">
        <v>942.33040000000005</v>
      </c>
      <c r="X12">
        <v>75</v>
      </c>
      <c r="Y12">
        <f t="shared" si="2"/>
        <v>21.153599999999983</v>
      </c>
      <c r="Z12">
        <f t="shared" si="3"/>
        <v>-3.1530000000000005</v>
      </c>
      <c r="AA12">
        <f t="shared" si="4"/>
        <v>51.537399999999991</v>
      </c>
      <c r="AB12">
        <f t="shared" si="5"/>
        <v>3.1531000000000002</v>
      </c>
      <c r="AC12">
        <f t="shared" si="6"/>
        <v>-2.17999524E-118</v>
      </c>
      <c r="AD12">
        <f t="shared" si="7"/>
        <v>9.4699992559999993E-5</v>
      </c>
      <c r="AE12">
        <f t="shared" si="8"/>
        <v>2.3873999999999998E-6</v>
      </c>
      <c r="AF12">
        <f t="shared" si="9"/>
        <v>7.1399781999999999E-6</v>
      </c>
      <c r="AG12">
        <f t="shared" si="10"/>
        <v>-3.5399999999999987E-2</v>
      </c>
      <c r="AH12">
        <f t="shared" si="11"/>
        <v>55.613999999999919</v>
      </c>
      <c r="AI12">
        <f t="shared" si="11"/>
        <v>3</v>
      </c>
    </row>
    <row r="13" spans="1:35" x14ac:dyDescent="0.25">
      <c r="A13">
        <v>86148</v>
      </c>
      <c r="B13" t="s">
        <v>19</v>
      </c>
      <c r="C13">
        <v>656.75379999999996</v>
      </c>
      <c r="D13">
        <v>18.050599999999999</v>
      </c>
      <c r="E13">
        <v>580.37139999999999</v>
      </c>
      <c r="F13">
        <v>-49.354700000000001</v>
      </c>
      <c r="G13" s="1">
        <v>2.1300000000000001E-93</v>
      </c>
      <c r="H13" s="1">
        <v>2.5600000000000002E-13</v>
      </c>
      <c r="I13" s="1">
        <v>4.7899999999999999E-6</v>
      </c>
      <c r="J13" s="1">
        <v>2.96E-35</v>
      </c>
      <c r="K13">
        <v>0.65310000000000001</v>
      </c>
      <c r="L13">
        <v>1092.0981999999999</v>
      </c>
      <c r="M13">
        <v>78</v>
      </c>
      <c r="N13">
        <v>618.11410000000001</v>
      </c>
      <c r="O13">
        <v>22.882999999999999</v>
      </c>
      <c r="P13">
        <v>518.52470000000005</v>
      </c>
      <c r="Q13">
        <v>-54.187100000000001</v>
      </c>
      <c r="R13" s="1">
        <v>4.0000000000000001E-99</v>
      </c>
      <c r="S13" s="1">
        <v>3.11E-29</v>
      </c>
      <c r="T13" s="1">
        <v>8.0600000000000008E-6</v>
      </c>
      <c r="U13" s="1">
        <v>3.3899999999999999E-46</v>
      </c>
      <c r="V13">
        <v>0.68320000000000003</v>
      </c>
      <c r="W13">
        <v>1044.8030000000001</v>
      </c>
      <c r="X13">
        <v>75</v>
      </c>
      <c r="Y13">
        <f t="shared" si="2"/>
        <v>38.639699999999948</v>
      </c>
      <c r="Z13">
        <f t="shared" si="3"/>
        <v>-4.8323999999999998</v>
      </c>
      <c r="AA13">
        <f t="shared" si="4"/>
        <v>61.846699999999942</v>
      </c>
      <c r="AB13">
        <f t="shared" si="5"/>
        <v>4.8323999999999998</v>
      </c>
      <c r="AC13">
        <f t="shared" si="6"/>
        <v>2.1299960000000001E-93</v>
      </c>
      <c r="AD13">
        <f t="shared" si="7"/>
        <v>2.5599999999999997E-13</v>
      </c>
      <c r="AE13">
        <f t="shared" si="8"/>
        <v>-3.2700000000000009E-6</v>
      </c>
      <c r="AF13">
        <f t="shared" si="9"/>
        <v>2.9599999999661003E-35</v>
      </c>
      <c r="AG13">
        <f t="shared" si="10"/>
        <v>-3.0100000000000016E-2</v>
      </c>
      <c r="AH13">
        <f t="shared" si="11"/>
        <v>47.295199999999795</v>
      </c>
      <c r="AI13">
        <f t="shared" si="11"/>
        <v>3</v>
      </c>
    </row>
    <row r="14" spans="1:35" x14ac:dyDescent="0.25">
      <c r="A14">
        <v>93242</v>
      </c>
      <c r="B14" t="s">
        <v>13</v>
      </c>
      <c r="C14">
        <v>0</v>
      </c>
      <c r="D14">
        <v>-68.385800000000003</v>
      </c>
      <c r="E14">
        <v>186.3424</v>
      </c>
      <c r="F14">
        <v>117.95659999999999</v>
      </c>
      <c r="G14">
        <v>0</v>
      </c>
      <c r="H14">
        <v>1.8E-3</v>
      </c>
      <c r="I14" s="1">
        <v>6.3300000000000004E-6</v>
      </c>
      <c r="J14" s="1">
        <v>1.2900000000000001E-9</v>
      </c>
      <c r="K14">
        <v>0.86250000000000004</v>
      </c>
      <c r="L14">
        <v>587.01800000000003</v>
      </c>
      <c r="M14">
        <v>42</v>
      </c>
      <c r="N14">
        <v>0</v>
      </c>
      <c r="O14">
        <v>-68.385800000000003</v>
      </c>
      <c r="P14">
        <v>186.3424</v>
      </c>
      <c r="Q14">
        <v>117.95659999999999</v>
      </c>
      <c r="R14">
        <v>0</v>
      </c>
      <c r="S14">
        <v>1.8E-3</v>
      </c>
      <c r="T14" s="1">
        <v>6.3300000000000004E-6</v>
      </c>
      <c r="U14" s="1">
        <v>1.2900000000000001E-9</v>
      </c>
      <c r="V14">
        <v>0.86250000000000004</v>
      </c>
      <c r="W14">
        <v>587.01800000000003</v>
      </c>
      <c r="X14">
        <v>42</v>
      </c>
      <c r="Y14">
        <f t="shared" si="2"/>
        <v>0</v>
      </c>
      <c r="Z14">
        <f t="shared" si="3"/>
        <v>0</v>
      </c>
      <c r="AA14">
        <f t="shared" si="4"/>
        <v>0</v>
      </c>
      <c r="AB14">
        <f t="shared" si="5"/>
        <v>0</v>
      </c>
      <c r="AC14">
        <f t="shared" si="6"/>
        <v>0</v>
      </c>
      <c r="AD14">
        <f t="shared" si="7"/>
        <v>0</v>
      </c>
      <c r="AE14">
        <f t="shared" si="8"/>
        <v>0</v>
      </c>
      <c r="AF14">
        <f t="shared" si="9"/>
        <v>0</v>
      </c>
      <c r="AG14">
        <f t="shared" si="10"/>
        <v>0</v>
      </c>
      <c r="AH14">
        <f t="shared" si="11"/>
        <v>0</v>
      </c>
      <c r="AI14">
        <f t="shared" si="11"/>
        <v>0</v>
      </c>
    </row>
    <row r="15" spans="1:35" x14ac:dyDescent="0.25">
      <c r="A15">
        <v>96137</v>
      </c>
      <c r="B15" t="s">
        <v>20</v>
      </c>
      <c r="C15">
        <v>5409.7433000000001</v>
      </c>
      <c r="D15">
        <v>-18.568300000000001</v>
      </c>
      <c r="E15">
        <v>2714.7784999999999</v>
      </c>
      <c r="F15">
        <v>111.25709999999999</v>
      </c>
      <c r="G15" s="1">
        <v>9.2599999999999997E-77</v>
      </c>
      <c r="H15">
        <v>0.54869999999999997</v>
      </c>
      <c r="I15" s="1">
        <v>1.49E-5</v>
      </c>
      <c r="J15">
        <v>1.2999999999999999E-3</v>
      </c>
      <c r="K15">
        <v>0.81789999999999996</v>
      </c>
      <c r="L15">
        <v>1129.0400999999999</v>
      </c>
      <c r="M15">
        <v>66</v>
      </c>
      <c r="N15">
        <v>5398.7921999999999</v>
      </c>
      <c r="O15">
        <v>4.0494000000000003</v>
      </c>
      <c r="P15">
        <v>2217.6725999999999</v>
      </c>
      <c r="Q15">
        <v>88.639499999999998</v>
      </c>
      <c r="R15" s="1">
        <v>2.7699999999999998E-96</v>
      </c>
      <c r="S15">
        <v>0.88219999999999998</v>
      </c>
      <c r="T15" s="1">
        <v>9.6299999999999993E-6</v>
      </c>
      <c r="U15">
        <v>4.7000000000000002E-3</v>
      </c>
      <c r="V15">
        <v>0.81359999999999999</v>
      </c>
      <c r="W15">
        <v>1072.4836</v>
      </c>
      <c r="X15">
        <v>63</v>
      </c>
      <c r="Y15">
        <f t="shared" si="2"/>
        <v>10.951100000000224</v>
      </c>
      <c r="Z15">
        <f t="shared" si="3"/>
        <v>-22.617699999999999</v>
      </c>
      <c r="AA15">
        <f t="shared" si="4"/>
        <v>497.10590000000002</v>
      </c>
      <c r="AB15">
        <f t="shared" si="5"/>
        <v>22.617599999999996</v>
      </c>
      <c r="AC15">
        <f t="shared" si="6"/>
        <v>9.2599999999999997E-77</v>
      </c>
      <c r="AD15">
        <f t="shared" si="7"/>
        <v>-0.33350000000000002</v>
      </c>
      <c r="AE15">
        <f t="shared" si="8"/>
        <v>5.2700000000000004E-6</v>
      </c>
      <c r="AF15">
        <f t="shared" si="9"/>
        <v>-3.4000000000000002E-3</v>
      </c>
      <c r="AG15">
        <f t="shared" si="10"/>
        <v>4.2999999999999705E-3</v>
      </c>
      <c r="AH15">
        <f t="shared" si="11"/>
        <v>56.556499999999915</v>
      </c>
      <c r="AI15">
        <f t="shared" si="11"/>
        <v>3</v>
      </c>
    </row>
    <row r="16" spans="1:35" x14ac:dyDescent="0.25">
      <c r="A16">
        <v>85303</v>
      </c>
      <c r="B16" t="s">
        <v>21</v>
      </c>
      <c r="C16">
        <v>675.24019999999996</v>
      </c>
      <c r="D16">
        <v>9.0084999999999997</v>
      </c>
      <c r="E16">
        <v>316.08150000000001</v>
      </c>
      <c r="F16">
        <v>-12.520099999999999</v>
      </c>
      <c r="G16" s="1">
        <v>6.8E-139</v>
      </c>
      <c r="H16">
        <v>2.9999999999999997E-4</v>
      </c>
      <c r="I16" s="1">
        <v>3.43E-5</v>
      </c>
      <c r="J16" s="1">
        <v>2.2200000000000001E-5</v>
      </c>
      <c r="K16">
        <v>0.71279999999999999</v>
      </c>
      <c r="L16">
        <v>1002.6228</v>
      </c>
      <c r="M16">
        <v>78</v>
      </c>
      <c r="N16">
        <v>652.61680000000001</v>
      </c>
      <c r="O16">
        <v>12.442500000000001</v>
      </c>
      <c r="P16">
        <v>255.84190000000001</v>
      </c>
      <c r="Q16">
        <v>-15.9541</v>
      </c>
      <c r="R16" s="1">
        <v>6.8699999999999999E-141</v>
      </c>
      <c r="S16" s="1">
        <v>2.2900000000000001E-12</v>
      </c>
      <c r="T16" s="1">
        <v>2.12E-6</v>
      </c>
      <c r="U16" s="1">
        <v>4.42E-11</v>
      </c>
      <c r="V16">
        <v>0.75290000000000001</v>
      </c>
      <c r="W16">
        <v>946.11379999999997</v>
      </c>
      <c r="X16">
        <v>75</v>
      </c>
      <c r="Y16">
        <f t="shared" si="2"/>
        <v>22.623399999999947</v>
      </c>
      <c r="Z16">
        <f t="shared" si="3"/>
        <v>-3.4340000000000011</v>
      </c>
      <c r="AA16">
        <f t="shared" si="4"/>
        <v>60.239599999999996</v>
      </c>
      <c r="AB16">
        <f t="shared" si="5"/>
        <v>3.4340000000000011</v>
      </c>
      <c r="AC16">
        <f t="shared" si="6"/>
        <v>6.7312999999999997E-139</v>
      </c>
      <c r="AD16">
        <f t="shared" si="7"/>
        <v>2.9999999770999997E-4</v>
      </c>
      <c r="AE16">
        <f t="shared" si="8"/>
        <v>3.218E-5</v>
      </c>
      <c r="AF16">
        <f t="shared" si="9"/>
        <v>2.2199955800000001E-5</v>
      </c>
      <c r="AG16">
        <f t="shared" si="10"/>
        <v>-4.0100000000000025E-2</v>
      </c>
      <c r="AH16">
        <f t="shared" si="11"/>
        <v>56.509000000000015</v>
      </c>
      <c r="AI16">
        <f t="shared" si="11"/>
        <v>3</v>
      </c>
    </row>
    <row r="17" spans="1:35" x14ac:dyDescent="0.25">
      <c r="A17">
        <v>85652</v>
      </c>
      <c r="B17" t="s">
        <v>22</v>
      </c>
      <c r="C17">
        <v>129423.0646</v>
      </c>
      <c r="D17">
        <v>590.21849999999995</v>
      </c>
      <c r="E17">
        <v>38853.591099999998</v>
      </c>
      <c r="F17">
        <v>-302.23820000000001</v>
      </c>
      <c r="G17">
        <v>0</v>
      </c>
      <c r="H17">
        <v>5.1799999999999999E-2</v>
      </c>
      <c r="I17" s="1">
        <v>5.0500000000000001E-5</v>
      </c>
      <c r="J17">
        <v>0.4083</v>
      </c>
      <c r="K17">
        <v>0.73350000000000004</v>
      </c>
      <c r="L17">
        <v>1757.4509</v>
      </c>
      <c r="M17">
        <v>78</v>
      </c>
      <c r="N17">
        <v>126174.10520000001</v>
      </c>
      <c r="O17">
        <v>1062.4555</v>
      </c>
      <c r="P17">
        <v>28761.621599999999</v>
      </c>
      <c r="Q17">
        <v>-774.47519999999997</v>
      </c>
      <c r="R17">
        <v>0</v>
      </c>
      <c r="S17" s="1">
        <v>1.96E-13</v>
      </c>
      <c r="T17" s="1">
        <v>6.5799999999999994E-8</v>
      </c>
      <c r="U17">
        <v>2.3999999999999998E-3</v>
      </c>
      <c r="V17">
        <v>0.78739999999999999</v>
      </c>
      <c r="W17">
        <v>1661.1977999999999</v>
      </c>
      <c r="X17">
        <v>75</v>
      </c>
      <c r="Y17">
        <f t="shared" si="2"/>
        <v>3248.9593999999925</v>
      </c>
      <c r="Z17">
        <f t="shared" si="3"/>
        <v>-472.23700000000008</v>
      </c>
      <c r="AA17">
        <f t="shared" si="4"/>
        <v>10091.969499999999</v>
      </c>
      <c r="AB17">
        <f t="shared" si="5"/>
        <v>472.23699999999997</v>
      </c>
      <c r="AC17">
        <f t="shared" si="6"/>
        <v>0</v>
      </c>
      <c r="AD17">
        <f t="shared" si="7"/>
        <v>5.1799999999803996E-2</v>
      </c>
      <c r="AE17">
        <f t="shared" si="8"/>
        <v>5.0434199999999999E-5</v>
      </c>
      <c r="AF17">
        <f t="shared" si="9"/>
        <v>0.40589999999999998</v>
      </c>
      <c r="AG17">
        <f t="shared" si="10"/>
        <v>-5.3899999999999948E-2</v>
      </c>
      <c r="AH17">
        <f t="shared" si="11"/>
        <v>96.253100000000131</v>
      </c>
      <c r="AI17">
        <f t="shared" si="11"/>
        <v>3</v>
      </c>
    </row>
    <row r="18" spans="1:35" x14ac:dyDescent="0.25">
      <c r="A18">
        <v>86146</v>
      </c>
      <c r="B18" t="s">
        <v>23</v>
      </c>
      <c r="C18">
        <v>2520.9429</v>
      </c>
      <c r="D18">
        <v>68.487399999999994</v>
      </c>
      <c r="E18">
        <v>1454.9102</v>
      </c>
      <c r="F18">
        <v>-15.022600000000001</v>
      </c>
      <c r="G18" s="1">
        <v>6.6800000000000003E-82</v>
      </c>
      <c r="H18" s="1">
        <v>1.65E-10</v>
      </c>
      <c r="I18" s="1">
        <v>5.3100000000000003E-5</v>
      </c>
      <c r="J18">
        <v>0.30640000000000001</v>
      </c>
      <c r="K18">
        <v>0.88690000000000002</v>
      </c>
      <c r="L18">
        <v>1264.9395999999999</v>
      </c>
      <c r="M18">
        <v>78</v>
      </c>
      <c r="N18">
        <v>2394.0801999999999</v>
      </c>
      <c r="O18">
        <v>86.392700000000005</v>
      </c>
      <c r="P18">
        <v>1214.2646999999999</v>
      </c>
      <c r="Q18">
        <v>-32.927900000000001</v>
      </c>
      <c r="R18" s="1">
        <v>1.85E-65</v>
      </c>
      <c r="S18" s="1">
        <v>4.85E-26</v>
      </c>
      <c r="T18" s="1">
        <v>1.1800000000000001E-5</v>
      </c>
      <c r="U18">
        <v>1.14E-2</v>
      </c>
      <c r="V18">
        <v>0.89870000000000005</v>
      </c>
      <c r="W18">
        <v>1206.3278</v>
      </c>
      <c r="X18">
        <v>75</v>
      </c>
      <c r="Y18">
        <f t="shared" si="2"/>
        <v>126.86270000000013</v>
      </c>
      <c r="Z18">
        <f t="shared" si="3"/>
        <v>-17.905300000000011</v>
      </c>
      <c r="AA18">
        <f t="shared" si="4"/>
        <v>240.64550000000008</v>
      </c>
      <c r="AB18">
        <f t="shared" si="5"/>
        <v>17.9053</v>
      </c>
      <c r="AC18">
        <f t="shared" si="6"/>
        <v>-1.85E-65</v>
      </c>
      <c r="AD18">
        <f t="shared" si="7"/>
        <v>1.6499999999999995E-10</v>
      </c>
      <c r="AE18">
        <f t="shared" si="8"/>
        <v>4.1300000000000001E-5</v>
      </c>
      <c r="AF18">
        <f t="shared" si="9"/>
        <v>0.29499999999999998</v>
      </c>
      <c r="AG18">
        <f t="shared" si="10"/>
        <v>-1.1800000000000033E-2</v>
      </c>
      <c r="AH18">
        <f t="shared" si="11"/>
        <v>58.611799999999903</v>
      </c>
      <c r="AI18">
        <f t="shared" si="11"/>
        <v>3</v>
      </c>
    </row>
    <row r="19" spans="1:35" x14ac:dyDescent="0.25">
      <c r="A19">
        <v>85306</v>
      </c>
      <c r="B19" t="s">
        <v>21</v>
      </c>
      <c r="C19">
        <v>785.87840000000006</v>
      </c>
      <c r="D19">
        <v>10.940300000000001</v>
      </c>
      <c r="E19">
        <v>347.75760000000002</v>
      </c>
      <c r="F19">
        <v>-14.2691</v>
      </c>
      <c r="G19" s="1">
        <v>5.8200000000000001E-181</v>
      </c>
      <c r="H19">
        <v>1E-4</v>
      </c>
      <c r="I19" s="1">
        <v>6.7399999999999998E-5</v>
      </c>
      <c r="J19" s="1">
        <v>1.5999999999999999E-5</v>
      </c>
      <c r="K19">
        <v>0.72160000000000002</v>
      </c>
      <c r="L19">
        <v>1024.1795</v>
      </c>
      <c r="M19">
        <v>78</v>
      </c>
      <c r="N19">
        <v>756.37080000000003</v>
      </c>
      <c r="O19">
        <v>15.3443</v>
      </c>
      <c r="P19">
        <v>269.15910000000002</v>
      </c>
      <c r="Q19">
        <v>-18.673100000000002</v>
      </c>
      <c r="R19" s="1">
        <v>1.63E-208</v>
      </c>
      <c r="S19" s="1">
        <v>2.5100000000000001E-21</v>
      </c>
      <c r="T19" s="1">
        <v>3.5600000000000001E-7</v>
      </c>
      <c r="U19" s="1">
        <v>1.6099999999999999E-15</v>
      </c>
      <c r="V19">
        <v>0.77239999999999998</v>
      </c>
      <c r="W19">
        <v>961.93880000000001</v>
      </c>
      <c r="X19">
        <v>75</v>
      </c>
      <c r="Y19">
        <f t="shared" si="2"/>
        <v>29.507600000000025</v>
      </c>
      <c r="Z19">
        <f t="shared" si="3"/>
        <v>-4.4039999999999999</v>
      </c>
      <c r="AA19">
        <f t="shared" si="4"/>
        <v>78.598500000000001</v>
      </c>
      <c r="AB19">
        <f t="shared" si="5"/>
        <v>4.4040000000000017</v>
      </c>
      <c r="AC19">
        <f t="shared" si="6"/>
        <v>5.8200000000000001E-181</v>
      </c>
      <c r="AD19">
        <f t="shared" si="7"/>
        <v>1E-4</v>
      </c>
      <c r="AE19">
        <f t="shared" si="8"/>
        <v>6.7044000000000004E-5</v>
      </c>
      <c r="AF19">
        <f t="shared" si="9"/>
        <v>1.599999999839E-5</v>
      </c>
      <c r="AG19">
        <f t="shared" si="10"/>
        <v>-5.0799999999999956E-2</v>
      </c>
      <c r="AH19">
        <f t="shared" si="11"/>
        <v>62.240699999999947</v>
      </c>
      <c r="AI19">
        <f t="shared" si="11"/>
        <v>3</v>
      </c>
    </row>
    <row r="20" spans="1:35" x14ac:dyDescent="0.25">
      <c r="A20">
        <v>96110</v>
      </c>
      <c r="B20" t="s">
        <v>24</v>
      </c>
      <c r="C20">
        <v>249805.7162</v>
      </c>
      <c r="D20">
        <v>1853.8067000000001</v>
      </c>
      <c r="E20">
        <v>97939.754499999995</v>
      </c>
      <c r="F20">
        <v>-1576.4862000000001</v>
      </c>
      <c r="G20" s="1">
        <v>2.52E-148</v>
      </c>
      <c r="H20">
        <v>1.3599999999999999E-2</v>
      </c>
      <c r="I20" s="1">
        <v>7.1600000000000006E-5</v>
      </c>
      <c r="J20">
        <v>9.5100000000000004E-2</v>
      </c>
      <c r="K20">
        <v>0.69240000000000002</v>
      </c>
      <c r="L20">
        <v>1914.2029</v>
      </c>
      <c r="M20">
        <v>78</v>
      </c>
      <c r="N20">
        <v>242924.78969999999</v>
      </c>
      <c r="O20">
        <v>2923.7934</v>
      </c>
      <c r="P20">
        <v>76142.524999999994</v>
      </c>
      <c r="Q20">
        <v>-2646.473</v>
      </c>
      <c r="R20" s="1">
        <v>2.7499999999999997E-169</v>
      </c>
      <c r="S20" s="1">
        <v>3.6199999999999999E-12</v>
      </c>
      <c r="T20" s="1">
        <v>3.8999999999999999E-6</v>
      </c>
      <c r="U20">
        <v>2.0000000000000001E-4</v>
      </c>
      <c r="V20">
        <v>0.72199999999999998</v>
      </c>
      <c r="W20">
        <v>1824.5930000000001</v>
      </c>
      <c r="X20">
        <v>75</v>
      </c>
      <c r="Y20">
        <f t="shared" si="2"/>
        <v>6880.9265000000014</v>
      </c>
      <c r="Z20">
        <f t="shared" si="3"/>
        <v>-1069.9866999999999</v>
      </c>
      <c r="AA20">
        <f t="shared" si="4"/>
        <v>21797.229500000001</v>
      </c>
      <c r="AB20">
        <f t="shared" si="5"/>
        <v>1069.9867999999999</v>
      </c>
      <c r="AC20">
        <f t="shared" si="6"/>
        <v>2.52E-148</v>
      </c>
      <c r="AD20">
        <f t="shared" si="7"/>
        <v>1.3599999996379999E-2</v>
      </c>
      <c r="AE20">
        <f t="shared" si="8"/>
        <v>6.7700000000000006E-5</v>
      </c>
      <c r="AF20">
        <f t="shared" si="9"/>
        <v>9.4899999999999998E-2</v>
      </c>
      <c r="AG20">
        <f t="shared" si="10"/>
        <v>-2.959999999999996E-2</v>
      </c>
      <c r="AH20">
        <f t="shared" si="11"/>
        <v>89.609899999999925</v>
      </c>
      <c r="AI20">
        <f t="shared" si="11"/>
        <v>3</v>
      </c>
    </row>
    <row r="21" spans="1:35" x14ac:dyDescent="0.25">
      <c r="A21">
        <v>85597</v>
      </c>
      <c r="B21" t="s">
        <v>25</v>
      </c>
      <c r="C21">
        <v>363.5616</v>
      </c>
      <c r="D21">
        <v>2.9933000000000001</v>
      </c>
      <c r="E21">
        <v>198.9084</v>
      </c>
      <c r="F21">
        <v>-0.54359999999999997</v>
      </c>
      <c r="G21" s="1">
        <v>2.83E-112</v>
      </c>
      <c r="H21">
        <v>2.4199999999999999E-2</v>
      </c>
      <c r="I21" s="1">
        <v>8.7800000000000006E-5</v>
      </c>
      <c r="J21">
        <v>0.77410000000000001</v>
      </c>
      <c r="K21">
        <v>0.73460000000000003</v>
      </c>
      <c r="L21">
        <v>945.69920000000002</v>
      </c>
      <c r="M21">
        <v>78</v>
      </c>
      <c r="N21">
        <v>354.46519999999998</v>
      </c>
      <c r="O21">
        <v>4.5164</v>
      </c>
      <c r="P21">
        <v>168.2465</v>
      </c>
      <c r="Q21">
        <v>-2.0667</v>
      </c>
      <c r="R21" s="1">
        <v>1.6000000000000001E-151</v>
      </c>
      <c r="S21" s="1">
        <v>1.5099999999999999E-6</v>
      </c>
      <c r="T21" s="1">
        <v>8.3599999999999999E-5</v>
      </c>
      <c r="U21">
        <v>0.2097</v>
      </c>
      <c r="V21">
        <v>0.74119999999999997</v>
      </c>
      <c r="W21">
        <v>902.75340000000006</v>
      </c>
      <c r="X21">
        <v>75</v>
      </c>
      <c r="Y21">
        <f t="shared" si="2"/>
        <v>9.0964000000000169</v>
      </c>
      <c r="Z21">
        <f t="shared" si="3"/>
        <v>-1.5230999999999999</v>
      </c>
      <c r="AA21">
        <f t="shared" si="4"/>
        <v>30.661900000000003</v>
      </c>
      <c r="AB21">
        <f t="shared" si="5"/>
        <v>1.5230999999999999</v>
      </c>
      <c r="AC21">
        <f t="shared" si="6"/>
        <v>2.83E-112</v>
      </c>
      <c r="AD21">
        <f t="shared" si="7"/>
        <v>2.419849E-2</v>
      </c>
      <c r="AE21">
        <f t="shared" si="8"/>
        <v>4.2000000000000072E-6</v>
      </c>
      <c r="AF21">
        <f t="shared" si="9"/>
        <v>0.56440000000000001</v>
      </c>
      <c r="AG21">
        <f t="shared" si="10"/>
        <v>-6.5999999999999392E-3</v>
      </c>
      <c r="AH21">
        <f t="shared" si="11"/>
        <v>42.945799999999963</v>
      </c>
      <c r="AI21">
        <f t="shared" si="11"/>
        <v>3</v>
      </c>
    </row>
    <row r="22" spans="1:35" x14ac:dyDescent="0.25">
      <c r="A22">
        <v>85379</v>
      </c>
      <c r="B22" t="s">
        <v>26</v>
      </c>
      <c r="C22">
        <v>33838.512000000002</v>
      </c>
      <c r="D22">
        <v>999.46759999999995</v>
      </c>
      <c r="E22">
        <v>20552.3786</v>
      </c>
      <c r="F22">
        <v>-1695.6112000000001</v>
      </c>
      <c r="G22" s="1">
        <v>2.12E-36</v>
      </c>
      <c r="H22" s="1">
        <v>5.1699999999999998E-7</v>
      </c>
      <c r="I22">
        <v>1E-4</v>
      </c>
      <c r="J22" s="1">
        <v>5.0699999999999996E-13</v>
      </c>
      <c r="K22">
        <v>0.76900000000000002</v>
      </c>
      <c r="L22">
        <v>1643.4259999999999</v>
      </c>
      <c r="M22">
        <v>78</v>
      </c>
      <c r="N22">
        <v>33266.192499999997</v>
      </c>
      <c r="O22">
        <v>1129.4595999999999</v>
      </c>
      <c r="P22">
        <v>19963.357100000001</v>
      </c>
      <c r="Q22">
        <v>-1825.6032</v>
      </c>
      <c r="R22" s="1">
        <v>7.0000000000000006E-30</v>
      </c>
      <c r="S22" s="1">
        <v>7.2900000000000003E-7</v>
      </c>
      <c r="T22">
        <v>2.9999999999999997E-4</v>
      </c>
      <c r="U22" s="1">
        <v>2.9799999999999998E-12</v>
      </c>
      <c r="V22">
        <v>0.77080000000000004</v>
      </c>
      <c r="W22">
        <v>1580.4680000000001</v>
      </c>
      <c r="X22">
        <v>75</v>
      </c>
      <c r="Y22">
        <f t="shared" si="2"/>
        <v>572.31950000000506</v>
      </c>
      <c r="Z22">
        <f t="shared" si="3"/>
        <v>-129.99199999999996</v>
      </c>
      <c r="AA22">
        <f t="shared" si="4"/>
        <v>589.02149999999892</v>
      </c>
      <c r="AB22">
        <f t="shared" si="5"/>
        <v>129.99199999999996</v>
      </c>
      <c r="AC22">
        <f t="shared" si="6"/>
        <v>-6.999997880000001E-30</v>
      </c>
      <c r="AD22">
        <f t="shared" si="7"/>
        <v>-2.1200000000000005E-7</v>
      </c>
      <c r="AE22">
        <f t="shared" si="8"/>
        <v>-1.9999999999999998E-4</v>
      </c>
      <c r="AF22">
        <f t="shared" si="9"/>
        <v>-2.4729999999999997E-12</v>
      </c>
      <c r="AG22">
        <f t="shared" si="10"/>
        <v>-1.8000000000000238E-3</v>
      </c>
      <c r="AH22">
        <f t="shared" si="11"/>
        <v>62.957999999999856</v>
      </c>
      <c r="AI22">
        <f t="shared" si="11"/>
        <v>3</v>
      </c>
    </row>
    <row r="23" spans="1:35" x14ac:dyDescent="0.25">
      <c r="A23">
        <v>85245</v>
      </c>
      <c r="B23" t="s">
        <v>27</v>
      </c>
      <c r="C23">
        <v>1042.452</v>
      </c>
      <c r="D23">
        <v>19.448799999999999</v>
      </c>
      <c r="E23">
        <v>748.14980000000003</v>
      </c>
      <c r="F23">
        <v>-2.9094000000000002</v>
      </c>
      <c r="G23" s="1">
        <v>2.8799999999999998E-63</v>
      </c>
      <c r="H23">
        <v>8.0000000000000004E-4</v>
      </c>
      <c r="I23">
        <v>1E-4</v>
      </c>
      <c r="J23">
        <v>0.69689999999999996</v>
      </c>
      <c r="K23">
        <v>0.83289999999999997</v>
      </c>
      <c r="L23">
        <v>1145.7025000000001</v>
      </c>
      <c r="M23">
        <v>78</v>
      </c>
      <c r="N23">
        <v>976.93579999999997</v>
      </c>
      <c r="O23">
        <v>28.754000000000001</v>
      </c>
      <c r="P23">
        <v>574.24480000000005</v>
      </c>
      <c r="Q23">
        <v>-12.214700000000001</v>
      </c>
      <c r="R23" s="1">
        <v>5.2E-87</v>
      </c>
      <c r="S23" s="1">
        <v>8.3399999999999997E-21</v>
      </c>
      <c r="T23" s="1">
        <v>1.17E-5</v>
      </c>
      <c r="U23">
        <v>3.1899999999999998E-2</v>
      </c>
      <c r="V23">
        <v>0.86240000000000006</v>
      </c>
      <c r="W23">
        <v>1081.2419</v>
      </c>
      <c r="X23">
        <v>75</v>
      </c>
      <c r="Y23">
        <f t="shared" si="2"/>
        <v>65.516200000000026</v>
      </c>
      <c r="Z23">
        <f t="shared" si="3"/>
        <v>-9.3052000000000028</v>
      </c>
      <c r="AA23">
        <f t="shared" si="4"/>
        <v>173.90499999999997</v>
      </c>
      <c r="AB23">
        <f t="shared" si="5"/>
        <v>9.3053000000000008</v>
      </c>
      <c r="AC23">
        <f t="shared" si="6"/>
        <v>2.8799999999999998E-63</v>
      </c>
      <c r="AD23">
        <f t="shared" si="7"/>
        <v>8.0000000000000004E-4</v>
      </c>
      <c r="AE23">
        <f t="shared" si="8"/>
        <v>8.8300000000000005E-5</v>
      </c>
      <c r="AF23">
        <f t="shared" si="9"/>
        <v>0.66499999999999992</v>
      </c>
      <c r="AG23">
        <f t="shared" si="10"/>
        <v>-2.9500000000000082E-2</v>
      </c>
      <c r="AH23">
        <f t="shared" si="11"/>
        <v>64.460600000000113</v>
      </c>
      <c r="AI23">
        <f t="shared" si="11"/>
        <v>3</v>
      </c>
    </row>
    <row r="24" spans="1:35" x14ac:dyDescent="0.25">
      <c r="A24">
        <v>86147</v>
      </c>
      <c r="B24" t="s">
        <v>23</v>
      </c>
      <c r="C24">
        <v>4343.0931</v>
      </c>
      <c r="D24">
        <v>68.267700000000005</v>
      </c>
      <c r="E24">
        <v>1926.7094</v>
      </c>
      <c r="F24">
        <v>-4.5171000000000001</v>
      </c>
      <c r="G24" s="1">
        <v>4.4299999999999997E-128</v>
      </c>
      <c r="H24" s="1">
        <v>7.8699999999999992E-6</v>
      </c>
      <c r="I24">
        <v>1E-4</v>
      </c>
      <c r="J24">
        <v>0.82240000000000002</v>
      </c>
      <c r="K24">
        <v>0.85819999999999996</v>
      </c>
      <c r="L24">
        <v>1309.8905999999999</v>
      </c>
      <c r="M24">
        <v>78</v>
      </c>
      <c r="N24">
        <v>4174.0339000000004</v>
      </c>
      <c r="O24">
        <v>92.740300000000005</v>
      </c>
      <c r="P24">
        <v>1517.4482</v>
      </c>
      <c r="Q24">
        <v>-28.989699999999999</v>
      </c>
      <c r="R24" s="1">
        <v>1.9299999999999999E-128</v>
      </c>
      <c r="S24" s="1">
        <v>6.6599999999999995E-23</v>
      </c>
      <c r="T24" s="1">
        <v>1.33E-5</v>
      </c>
      <c r="U24">
        <v>7.4499999999999997E-2</v>
      </c>
      <c r="V24">
        <v>0.87819999999999998</v>
      </c>
      <c r="W24">
        <v>1244.4429</v>
      </c>
      <c r="X24">
        <v>75</v>
      </c>
      <c r="Y24">
        <f t="shared" si="2"/>
        <v>169.05919999999969</v>
      </c>
      <c r="Z24">
        <f t="shared" si="3"/>
        <v>-24.4726</v>
      </c>
      <c r="AA24">
        <f t="shared" si="4"/>
        <v>409.26119999999992</v>
      </c>
      <c r="AB24">
        <f t="shared" si="5"/>
        <v>24.4726</v>
      </c>
      <c r="AC24">
        <f t="shared" si="6"/>
        <v>2.5000000000000001E-128</v>
      </c>
      <c r="AD24">
        <f t="shared" si="7"/>
        <v>7.8699999999999992E-6</v>
      </c>
      <c r="AE24">
        <f t="shared" si="8"/>
        <v>8.6700000000000007E-5</v>
      </c>
      <c r="AF24">
        <f t="shared" si="9"/>
        <v>0.74790000000000001</v>
      </c>
      <c r="AG24">
        <f t="shared" si="10"/>
        <v>-2.0000000000000018E-2</v>
      </c>
      <c r="AH24">
        <f t="shared" si="11"/>
        <v>65.447699999999941</v>
      </c>
      <c r="AI24">
        <f t="shared" si="11"/>
        <v>3</v>
      </c>
    </row>
    <row r="25" spans="1:35" x14ac:dyDescent="0.25">
      <c r="A25">
        <v>95923</v>
      </c>
      <c r="B25" t="s">
        <v>28</v>
      </c>
      <c r="C25">
        <v>4782.6005999999998</v>
      </c>
      <c r="D25">
        <v>-58.207299999999996</v>
      </c>
      <c r="E25">
        <v>1483.2415000000001</v>
      </c>
      <c r="F25">
        <v>48.1203</v>
      </c>
      <c r="G25" s="1">
        <v>6.7199999999999997E-97</v>
      </c>
      <c r="H25" s="1">
        <v>3.9799999999999998E-5</v>
      </c>
      <c r="I25">
        <v>1E-4</v>
      </c>
      <c r="J25">
        <v>2.2000000000000001E-3</v>
      </c>
      <c r="K25">
        <v>0.31990000000000002</v>
      </c>
      <c r="L25">
        <v>1246.5346</v>
      </c>
      <c r="M25">
        <v>78</v>
      </c>
      <c r="N25">
        <v>4727.8145999999997</v>
      </c>
      <c r="O25">
        <v>-47.410800000000002</v>
      </c>
      <c r="P25">
        <v>1017.9151000000001</v>
      </c>
      <c r="Q25">
        <v>37.323700000000002</v>
      </c>
      <c r="R25" s="1">
        <v>2.2600000000000001E-95</v>
      </c>
      <c r="S25" s="1">
        <v>9.02E-7</v>
      </c>
      <c r="T25" s="1">
        <v>4.9699999999999998E-6</v>
      </c>
      <c r="U25">
        <v>1.8E-3</v>
      </c>
      <c r="V25">
        <v>0.26200000000000001</v>
      </c>
      <c r="W25">
        <v>1170.1226999999999</v>
      </c>
      <c r="X25">
        <v>75</v>
      </c>
      <c r="Y25">
        <f t="shared" si="2"/>
        <v>54.786000000000058</v>
      </c>
      <c r="Z25">
        <f t="shared" si="3"/>
        <v>-10.796499999999995</v>
      </c>
      <c r="AA25">
        <f t="shared" si="4"/>
        <v>465.32640000000004</v>
      </c>
      <c r="AB25">
        <f t="shared" si="5"/>
        <v>10.796599999999998</v>
      </c>
      <c r="AC25">
        <f t="shared" si="6"/>
        <v>-2.1928000000000001E-95</v>
      </c>
      <c r="AD25">
        <f t="shared" si="7"/>
        <v>3.8897999999999999E-5</v>
      </c>
      <c r="AE25">
        <f t="shared" si="8"/>
        <v>9.5030000000000003E-5</v>
      </c>
      <c r="AF25">
        <f t="shared" si="9"/>
        <v>4.0000000000000018E-4</v>
      </c>
      <c r="AG25">
        <f t="shared" si="10"/>
        <v>5.7900000000000007E-2</v>
      </c>
      <c r="AH25">
        <f t="shared" si="11"/>
        <v>76.41190000000006</v>
      </c>
      <c r="AI25">
        <f t="shared" si="11"/>
        <v>3</v>
      </c>
    </row>
    <row r="26" spans="1:35" x14ac:dyDescent="0.25">
      <c r="A26">
        <v>85246</v>
      </c>
      <c r="B26" t="s">
        <v>27</v>
      </c>
      <c r="C26">
        <v>1399.9745</v>
      </c>
      <c r="D26">
        <v>21.3094</v>
      </c>
      <c r="E26">
        <v>826.4452</v>
      </c>
      <c r="F26">
        <v>-0.68530000000000002</v>
      </c>
      <c r="G26" s="1">
        <v>6.7000000000000006E-86</v>
      </c>
      <c r="H26">
        <v>1.2999999999999999E-3</v>
      </c>
      <c r="I26">
        <v>2.0000000000000001E-4</v>
      </c>
      <c r="J26">
        <v>0.93659999999999999</v>
      </c>
      <c r="K26">
        <v>0.82989999999999997</v>
      </c>
      <c r="L26">
        <v>1167.8735999999999</v>
      </c>
      <c r="M26">
        <v>78</v>
      </c>
      <c r="N26">
        <v>1321.0320999999999</v>
      </c>
      <c r="O26">
        <v>32.230899999999998</v>
      </c>
      <c r="P26">
        <v>619.8261</v>
      </c>
      <c r="Q26">
        <v>-11.6069</v>
      </c>
      <c r="R26" s="1">
        <v>7.2599999999999996E-141</v>
      </c>
      <c r="S26" s="1">
        <v>5.7100000000000003E-21</v>
      </c>
      <c r="T26" s="1">
        <v>4.2899999999999999E-5</v>
      </c>
      <c r="U26">
        <v>7.8E-2</v>
      </c>
      <c r="V26">
        <v>0.86060000000000003</v>
      </c>
      <c r="W26">
        <v>1102.0011</v>
      </c>
      <c r="X26">
        <v>75</v>
      </c>
      <c r="Y26">
        <f t="shared" si="2"/>
        <v>78.942400000000134</v>
      </c>
      <c r="Z26">
        <f t="shared" si="3"/>
        <v>-10.921499999999998</v>
      </c>
      <c r="AA26">
        <f t="shared" si="4"/>
        <v>206.6191</v>
      </c>
      <c r="AB26">
        <f t="shared" si="5"/>
        <v>10.9216</v>
      </c>
      <c r="AC26">
        <f t="shared" si="6"/>
        <v>6.7000000000000006E-86</v>
      </c>
      <c r="AD26">
        <f t="shared" si="7"/>
        <v>1.2999999999999999E-3</v>
      </c>
      <c r="AE26">
        <f t="shared" si="8"/>
        <v>1.5710000000000002E-4</v>
      </c>
      <c r="AF26">
        <f t="shared" si="9"/>
        <v>0.85860000000000003</v>
      </c>
      <c r="AG26">
        <f t="shared" si="10"/>
        <v>-3.0700000000000061E-2</v>
      </c>
      <c r="AH26">
        <f t="shared" si="11"/>
        <v>65.872499999999945</v>
      </c>
      <c r="AI26">
        <f t="shared" si="11"/>
        <v>3</v>
      </c>
    </row>
    <row r="27" spans="1:35" x14ac:dyDescent="0.25">
      <c r="A27">
        <v>85025</v>
      </c>
      <c r="B27" t="s">
        <v>29</v>
      </c>
      <c r="C27">
        <v>2891786.5526000001</v>
      </c>
      <c r="D27">
        <v>1283.1271999999999</v>
      </c>
      <c r="E27">
        <v>601686.53940000001</v>
      </c>
      <c r="F27">
        <v>5337.6206000000002</v>
      </c>
      <c r="G27">
        <v>0</v>
      </c>
      <c r="H27">
        <v>0.80279999999999996</v>
      </c>
      <c r="I27">
        <v>2.9999999999999997E-4</v>
      </c>
      <c r="J27">
        <v>0.40400000000000003</v>
      </c>
      <c r="K27">
        <v>0.65359999999999996</v>
      </c>
      <c r="L27">
        <v>2196.2579999999998</v>
      </c>
      <c r="M27">
        <v>78</v>
      </c>
      <c r="N27">
        <v>2836372.8004000001</v>
      </c>
      <c r="O27">
        <v>8967.3212000000003</v>
      </c>
      <c r="P27">
        <v>415055.46399999998</v>
      </c>
      <c r="Q27">
        <v>-2346.5734000000002</v>
      </c>
      <c r="R27">
        <v>0</v>
      </c>
      <c r="S27">
        <v>1E-3</v>
      </c>
      <c r="T27" s="1">
        <v>3.2299999999999999E-5</v>
      </c>
      <c r="U27">
        <v>0.62509999999999999</v>
      </c>
      <c r="V27">
        <v>0.71409999999999996</v>
      </c>
      <c r="W27">
        <v>2079.5212000000001</v>
      </c>
      <c r="X27">
        <v>75</v>
      </c>
      <c r="Y27">
        <f t="shared" si="2"/>
        <v>55413.752199999988</v>
      </c>
      <c r="Z27">
        <f t="shared" si="3"/>
        <v>-7684.1940000000004</v>
      </c>
      <c r="AA27">
        <f t="shared" si="4"/>
        <v>186631.07540000003</v>
      </c>
      <c r="AB27">
        <f t="shared" si="5"/>
        <v>7684.1940000000004</v>
      </c>
      <c r="AC27">
        <f t="shared" si="6"/>
        <v>0</v>
      </c>
      <c r="AD27">
        <f t="shared" si="7"/>
        <v>0.80179999999999996</v>
      </c>
      <c r="AE27">
        <f t="shared" si="8"/>
        <v>2.6769999999999995E-4</v>
      </c>
      <c r="AF27">
        <f t="shared" si="9"/>
        <v>-0.22109999999999996</v>
      </c>
      <c r="AG27">
        <f t="shared" si="10"/>
        <v>-6.0499999999999998E-2</v>
      </c>
      <c r="AH27">
        <f t="shared" si="11"/>
        <v>116.73679999999968</v>
      </c>
      <c r="AI27">
        <f t="shared" si="11"/>
        <v>3</v>
      </c>
    </row>
    <row r="28" spans="1:35" x14ac:dyDescent="0.25">
      <c r="A28">
        <v>84478</v>
      </c>
      <c r="B28" t="s">
        <v>30</v>
      </c>
      <c r="C28">
        <v>29954.141100000001</v>
      </c>
      <c r="D28">
        <v>-109.7525</v>
      </c>
      <c r="E28">
        <v>9986.6530999999995</v>
      </c>
      <c r="F28">
        <v>28.169799999999999</v>
      </c>
      <c r="G28" s="1">
        <v>1.28E-254</v>
      </c>
      <c r="H28">
        <v>0.13070000000000001</v>
      </c>
      <c r="I28">
        <v>4.0000000000000002E-4</v>
      </c>
      <c r="J28">
        <v>0.77349999999999997</v>
      </c>
      <c r="K28">
        <v>0.35270000000000001</v>
      </c>
      <c r="L28">
        <v>1550.9897000000001</v>
      </c>
      <c r="M28">
        <v>78</v>
      </c>
      <c r="N28">
        <v>29394.256700000002</v>
      </c>
      <c r="O28">
        <v>-23.197900000000001</v>
      </c>
      <c r="P28">
        <v>7447.5312999999996</v>
      </c>
      <c r="Q28">
        <v>-58.384799999999998</v>
      </c>
      <c r="R28">
        <v>0</v>
      </c>
      <c r="S28">
        <v>0.45190000000000002</v>
      </c>
      <c r="T28">
        <v>2.9999999999999997E-4</v>
      </c>
      <c r="U28">
        <v>0.4304</v>
      </c>
      <c r="V28">
        <v>0.32379999999999998</v>
      </c>
      <c r="W28">
        <v>1473.0933</v>
      </c>
      <c r="X28">
        <v>75</v>
      </c>
      <c r="Y28">
        <f t="shared" si="2"/>
        <v>559.884399999999</v>
      </c>
      <c r="Z28">
        <f t="shared" si="3"/>
        <v>-86.554599999999994</v>
      </c>
      <c r="AA28">
        <f t="shared" si="4"/>
        <v>2539.1217999999999</v>
      </c>
      <c r="AB28">
        <f t="shared" si="5"/>
        <v>86.554599999999994</v>
      </c>
      <c r="AC28">
        <f t="shared" si="6"/>
        <v>1.28E-254</v>
      </c>
      <c r="AD28">
        <f t="shared" si="7"/>
        <v>-0.32120000000000004</v>
      </c>
      <c r="AE28">
        <f t="shared" si="8"/>
        <v>1.0000000000000005E-4</v>
      </c>
      <c r="AF28">
        <f t="shared" si="9"/>
        <v>0.34309999999999996</v>
      </c>
      <c r="AG28">
        <f t="shared" si="10"/>
        <v>2.8900000000000037E-2</v>
      </c>
      <c r="AH28">
        <f t="shared" si="11"/>
        <v>77.896400000000085</v>
      </c>
      <c r="AI28">
        <f t="shared" si="11"/>
        <v>3</v>
      </c>
    </row>
    <row r="29" spans="1:35" x14ac:dyDescent="0.25">
      <c r="A29">
        <v>95910</v>
      </c>
      <c r="B29" t="s">
        <v>31</v>
      </c>
      <c r="C29">
        <v>1895.3198</v>
      </c>
      <c r="D29">
        <v>-12.794499999999999</v>
      </c>
      <c r="E29">
        <v>773.12879999999996</v>
      </c>
      <c r="F29">
        <v>12.3338</v>
      </c>
      <c r="G29" s="1">
        <v>4.5299999999999999E-91</v>
      </c>
      <c r="H29">
        <v>6.3600000000000004E-2</v>
      </c>
      <c r="I29">
        <v>4.0000000000000002E-4</v>
      </c>
      <c r="J29">
        <v>0.1421</v>
      </c>
      <c r="K29">
        <v>0.33739999999999998</v>
      </c>
      <c r="L29">
        <v>1172.4608000000001</v>
      </c>
      <c r="M29">
        <v>78</v>
      </c>
      <c r="N29">
        <v>1855.4528</v>
      </c>
      <c r="O29">
        <v>-5.8616000000000001</v>
      </c>
      <c r="P29">
        <v>552.76170000000002</v>
      </c>
      <c r="Q29">
        <v>5.4009999999999998</v>
      </c>
      <c r="R29" s="1">
        <v>1.7900000000000001E-95</v>
      </c>
      <c r="S29">
        <v>0.16619999999999999</v>
      </c>
      <c r="T29">
        <v>1E-4</v>
      </c>
      <c r="U29">
        <v>0.40379999999999999</v>
      </c>
      <c r="V29">
        <v>0.29110000000000003</v>
      </c>
      <c r="W29">
        <v>1109.9392</v>
      </c>
      <c r="X29">
        <v>75</v>
      </c>
      <c r="Y29">
        <f t="shared" si="2"/>
        <v>39.866999999999962</v>
      </c>
      <c r="Z29">
        <f t="shared" si="3"/>
        <v>-6.9328999999999992</v>
      </c>
      <c r="AA29">
        <f t="shared" si="4"/>
        <v>220.36709999999994</v>
      </c>
      <c r="AB29">
        <f t="shared" si="5"/>
        <v>6.9328000000000003</v>
      </c>
      <c r="AC29">
        <f t="shared" si="6"/>
        <v>4.5298209999999998E-91</v>
      </c>
      <c r="AD29">
        <f t="shared" si="7"/>
        <v>-0.10259999999999998</v>
      </c>
      <c r="AE29">
        <f t="shared" si="8"/>
        <v>3.0000000000000003E-4</v>
      </c>
      <c r="AF29">
        <f t="shared" si="9"/>
        <v>-0.26169999999999999</v>
      </c>
      <c r="AG29">
        <f t="shared" si="10"/>
        <v>4.6299999999999952E-2</v>
      </c>
      <c r="AH29">
        <f t="shared" si="11"/>
        <v>62.521600000000035</v>
      </c>
      <c r="AI29">
        <f t="shared" si="11"/>
        <v>3</v>
      </c>
    </row>
    <row r="30" spans="1:35" x14ac:dyDescent="0.25">
      <c r="A30">
        <v>96111</v>
      </c>
      <c r="B30" t="s">
        <v>32</v>
      </c>
      <c r="C30">
        <v>8726.1607000000004</v>
      </c>
      <c r="D30">
        <v>-332.92189999999999</v>
      </c>
      <c r="E30">
        <v>2941.3663999999999</v>
      </c>
      <c r="F30">
        <v>333.79680000000002</v>
      </c>
      <c r="G30" s="1">
        <v>8.0800000000000001E-18</v>
      </c>
      <c r="H30" s="1">
        <v>6.1300000000000001E-14</v>
      </c>
      <c r="I30">
        <v>5.0000000000000001E-4</v>
      </c>
      <c r="J30" s="1">
        <v>5.28E-14</v>
      </c>
      <c r="K30">
        <v>0.75960000000000005</v>
      </c>
      <c r="L30">
        <v>1384.4531999999999</v>
      </c>
      <c r="M30">
        <v>69</v>
      </c>
      <c r="N30">
        <v>9245.9375999999993</v>
      </c>
      <c r="O30">
        <v>-380.2423</v>
      </c>
      <c r="P30">
        <v>2937.0776999999998</v>
      </c>
      <c r="Q30">
        <v>381.11720000000003</v>
      </c>
      <c r="R30" s="1">
        <v>2.1999999999999999E-23</v>
      </c>
      <c r="S30" s="1">
        <v>1.26E-16</v>
      </c>
      <c r="T30">
        <v>6.9999999999999999E-4</v>
      </c>
      <c r="U30" s="1">
        <v>1.07E-16</v>
      </c>
      <c r="V30">
        <v>0.79569999999999996</v>
      </c>
      <c r="W30">
        <v>1321.9087</v>
      </c>
      <c r="X30">
        <v>66</v>
      </c>
      <c r="Y30">
        <f t="shared" si="2"/>
        <v>-519.77689999999893</v>
      </c>
      <c r="Z30">
        <f t="shared" si="3"/>
        <v>47.320400000000006</v>
      </c>
      <c r="AA30">
        <f t="shared" si="4"/>
        <v>4.2887000000000626</v>
      </c>
      <c r="AB30">
        <f t="shared" si="5"/>
        <v>-47.320400000000006</v>
      </c>
      <c r="AC30">
        <f t="shared" si="6"/>
        <v>8.0799780000000001E-18</v>
      </c>
      <c r="AD30">
        <f t="shared" si="7"/>
        <v>6.1174000000000005E-14</v>
      </c>
      <c r="AE30">
        <f t="shared" si="8"/>
        <v>-1.9999999999999998E-4</v>
      </c>
      <c r="AF30">
        <f t="shared" si="9"/>
        <v>5.2692999999999997E-14</v>
      </c>
      <c r="AG30">
        <f t="shared" si="10"/>
        <v>-3.609999999999991E-2</v>
      </c>
      <c r="AH30">
        <f t="shared" si="11"/>
        <v>62.544499999999971</v>
      </c>
      <c r="AI30">
        <f t="shared" si="11"/>
        <v>3</v>
      </c>
    </row>
    <row r="31" spans="1:35" x14ac:dyDescent="0.25">
      <c r="A31">
        <v>93042</v>
      </c>
      <c r="B31" t="s">
        <v>33</v>
      </c>
      <c r="C31">
        <v>8727.2101999999995</v>
      </c>
      <c r="D31">
        <v>26.203900000000001</v>
      </c>
      <c r="E31">
        <v>2395.8195999999998</v>
      </c>
      <c r="F31">
        <v>-88.688800000000001</v>
      </c>
      <c r="G31" s="1">
        <v>9.5300000000000004E-256</v>
      </c>
      <c r="H31">
        <v>0.16089999999999999</v>
      </c>
      <c r="I31">
        <v>5.0000000000000001E-4</v>
      </c>
      <c r="J31">
        <v>4.0000000000000002E-4</v>
      </c>
      <c r="K31">
        <v>0.41880000000000001</v>
      </c>
      <c r="L31">
        <v>1334.6379999999999</v>
      </c>
      <c r="M31">
        <v>78</v>
      </c>
      <c r="N31">
        <v>8512.1569</v>
      </c>
      <c r="O31">
        <v>55.948500000000003</v>
      </c>
      <c r="P31">
        <v>1737.6550999999999</v>
      </c>
      <c r="Q31">
        <v>-118.4335</v>
      </c>
      <c r="R31" s="1">
        <v>7.2399999999999996E-249</v>
      </c>
      <c r="S31" s="1">
        <v>1.8199999999999999E-6</v>
      </c>
      <c r="T31">
        <v>5.9999999999999995E-4</v>
      </c>
      <c r="U31" s="1">
        <v>7.6000000000000002E-9</v>
      </c>
      <c r="V31">
        <v>0.4788</v>
      </c>
      <c r="W31">
        <v>1260.963</v>
      </c>
      <c r="X31">
        <v>75</v>
      </c>
      <c r="Y31">
        <f t="shared" si="2"/>
        <v>215.05329999999958</v>
      </c>
      <c r="Z31">
        <f t="shared" si="3"/>
        <v>-29.744600000000002</v>
      </c>
      <c r="AA31">
        <f t="shared" si="4"/>
        <v>658.16449999999986</v>
      </c>
      <c r="AB31">
        <f t="shared" si="5"/>
        <v>29.744699999999995</v>
      </c>
      <c r="AC31">
        <f t="shared" si="6"/>
        <v>-7.2399990469999993E-249</v>
      </c>
      <c r="AD31">
        <f t="shared" si="7"/>
        <v>0.16089817999999997</v>
      </c>
      <c r="AE31">
        <f t="shared" si="8"/>
        <v>-9.9999999999999937E-5</v>
      </c>
      <c r="AF31">
        <f t="shared" si="9"/>
        <v>3.9999240000000003E-4</v>
      </c>
      <c r="AG31">
        <f t="shared" si="10"/>
        <v>-0.06</v>
      </c>
      <c r="AH31">
        <f t="shared" si="11"/>
        <v>73.674999999999955</v>
      </c>
      <c r="AI31">
        <f t="shared" si="11"/>
        <v>3</v>
      </c>
    </row>
    <row r="32" spans="1:35" x14ac:dyDescent="0.25">
      <c r="A32">
        <v>85247</v>
      </c>
      <c r="B32" t="s">
        <v>27</v>
      </c>
      <c r="C32">
        <v>291.00150000000002</v>
      </c>
      <c r="D32">
        <v>6.4078999999999997</v>
      </c>
      <c r="E32">
        <v>222.05009999999999</v>
      </c>
      <c r="F32">
        <v>-2.2381000000000002</v>
      </c>
      <c r="G32" s="1">
        <v>2.3800000000000001E-45</v>
      </c>
      <c r="H32">
        <v>5.0000000000000001E-4</v>
      </c>
      <c r="I32">
        <v>5.9999999999999995E-4</v>
      </c>
      <c r="J32">
        <v>0.35010000000000002</v>
      </c>
      <c r="K32">
        <v>0.78469999999999995</v>
      </c>
      <c r="L32">
        <v>978.77970000000005</v>
      </c>
      <c r="M32">
        <v>78</v>
      </c>
      <c r="N32">
        <v>271.6934</v>
      </c>
      <c r="O32">
        <v>9.2425999999999995</v>
      </c>
      <c r="P32">
        <v>169.8683</v>
      </c>
      <c r="Q32">
        <v>-5.0728999999999997</v>
      </c>
      <c r="R32" s="1">
        <v>1.7099999999999999E-75</v>
      </c>
      <c r="S32" s="1">
        <v>2.9200000000000002E-19</v>
      </c>
      <c r="T32">
        <v>2.9999999999999997E-4</v>
      </c>
      <c r="U32">
        <v>6.4000000000000003E-3</v>
      </c>
      <c r="V32">
        <v>0.80940000000000001</v>
      </c>
      <c r="W32">
        <v>926.42470000000003</v>
      </c>
      <c r="X32">
        <v>75</v>
      </c>
      <c r="Y32">
        <f t="shared" si="2"/>
        <v>19.308100000000024</v>
      </c>
      <c r="Z32">
        <f t="shared" si="3"/>
        <v>-2.8346999999999998</v>
      </c>
      <c r="AA32">
        <f t="shared" si="4"/>
        <v>52.181799999999981</v>
      </c>
      <c r="AB32">
        <f t="shared" si="5"/>
        <v>2.8347999999999995</v>
      </c>
      <c r="AC32">
        <f t="shared" si="6"/>
        <v>2.3800000000000001E-45</v>
      </c>
      <c r="AD32">
        <f t="shared" si="7"/>
        <v>4.9999999999999969E-4</v>
      </c>
      <c r="AE32">
        <f t="shared" si="8"/>
        <v>2.9999999999999997E-4</v>
      </c>
      <c r="AF32">
        <f t="shared" si="9"/>
        <v>0.34370000000000001</v>
      </c>
      <c r="AG32">
        <f t="shared" si="10"/>
        <v>-2.4700000000000055E-2</v>
      </c>
      <c r="AH32">
        <f t="shared" si="11"/>
        <v>52.355000000000018</v>
      </c>
      <c r="AI32">
        <f t="shared" si="11"/>
        <v>3</v>
      </c>
    </row>
    <row r="33" spans="1:35" x14ac:dyDescent="0.25">
      <c r="A33">
        <v>93227</v>
      </c>
      <c r="B33" t="s">
        <v>34</v>
      </c>
      <c r="C33">
        <v>2297.7838000000002</v>
      </c>
      <c r="D33">
        <v>1.3266</v>
      </c>
      <c r="E33">
        <v>934.84529999999995</v>
      </c>
      <c r="F33">
        <v>-26.699400000000001</v>
      </c>
      <c r="G33" s="1">
        <v>1.8400000000000001E-78</v>
      </c>
      <c r="H33">
        <v>0.88300000000000001</v>
      </c>
      <c r="I33">
        <v>6.9999999999999999E-4</v>
      </c>
      <c r="J33">
        <v>8.8000000000000005E-3</v>
      </c>
      <c r="K33">
        <v>0.31830000000000003</v>
      </c>
      <c r="L33">
        <v>1190.8009</v>
      </c>
      <c r="M33">
        <v>78</v>
      </c>
      <c r="N33">
        <v>2229.6541999999999</v>
      </c>
      <c r="O33">
        <v>11.701499999999999</v>
      </c>
      <c r="P33">
        <v>674.95820000000003</v>
      </c>
      <c r="Q33">
        <v>-37.074300000000001</v>
      </c>
      <c r="R33" s="1">
        <v>1.8299999999999999E-98</v>
      </c>
      <c r="S33">
        <v>2.5000000000000001E-2</v>
      </c>
      <c r="T33">
        <v>1E-4</v>
      </c>
      <c r="U33" s="1">
        <v>2.3200000000000001E-7</v>
      </c>
      <c r="V33">
        <v>0.3664</v>
      </c>
      <c r="W33">
        <v>1120.7949000000001</v>
      </c>
      <c r="X33">
        <v>75</v>
      </c>
      <c r="Y33">
        <f t="shared" si="2"/>
        <v>68.12960000000021</v>
      </c>
      <c r="Z33">
        <f t="shared" si="3"/>
        <v>-10.3749</v>
      </c>
      <c r="AA33">
        <f t="shared" si="4"/>
        <v>259.88709999999992</v>
      </c>
      <c r="AB33">
        <f t="shared" si="5"/>
        <v>10.3749</v>
      </c>
      <c r="AC33">
        <f t="shared" si="6"/>
        <v>1.8400000000000001E-78</v>
      </c>
      <c r="AD33">
        <f t="shared" si="7"/>
        <v>0.85799999999999998</v>
      </c>
      <c r="AE33">
        <f t="shared" si="8"/>
        <v>5.9999999999999995E-4</v>
      </c>
      <c r="AF33">
        <f t="shared" si="9"/>
        <v>8.7997680000000012E-3</v>
      </c>
      <c r="AG33">
        <f t="shared" si="10"/>
        <v>-4.8099999999999976E-2</v>
      </c>
      <c r="AH33">
        <f t="shared" si="11"/>
        <v>70.005999999999858</v>
      </c>
      <c r="AI33">
        <f t="shared" si="11"/>
        <v>3</v>
      </c>
    </row>
    <row r="34" spans="1:35" x14ac:dyDescent="0.25">
      <c r="A34">
        <v>85240</v>
      </c>
      <c r="B34" t="s">
        <v>27</v>
      </c>
      <c r="C34">
        <v>1574.5105000000001</v>
      </c>
      <c r="D34">
        <v>24.293099999999999</v>
      </c>
      <c r="E34">
        <v>928.75189999999998</v>
      </c>
      <c r="F34">
        <v>-0.16439999999999999</v>
      </c>
      <c r="G34" s="1">
        <v>3.3499999999999998E-68</v>
      </c>
      <c r="H34">
        <v>4.1999999999999997E-3</v>
      </c>
      <c r="I34">
        <v>6.9999999999999999E-4</v>
      </c>
      <c r="J34">
        <v>0.98729999999999996</v>
      </c>
      <c r="K34">
        <v>0.8196</v>
      </c>
      <c r="L34">
        <v>1194.0653</v>
      </c>
      <c r="M34">
        <v>78</v>
      </c>
      <c r="N34">
        <v>1480.6310000000001</v>
      </c>
      <c r="O34">
        <v>37.551499999999997</v>
      </c>
      <c r="P34">
        <v>671.24109999999996</v>
      </c>
      <c r="Q34">
        <v>-13.422800000000001</v>
      </c>
      <c r="R34" s="1">
        <v>8.9700000000000004E-99</v>
      </c>
      <c r="S34" s="1">
        <v>1.6900000000000001E-18</v>
      </c>
      <c r="T34">
        <v>1E-4</v>
      </c>
      <c r="U34">
        <v>7.1199999999999999E-2</v>
      </c>
      <c r="V34">
        <v>0.85719999999999996</v>
      </c>
      <c r="W34">
        <v>1123.4613999999999</v>
      </c>
      <c r="X34">
        <v>75</v>
      </c>
      <c r="Y34">
        <f t="shared" si="2"/>
        <v>93.879500000000007</v>
      </c>
      <c r="Z34">
        <f t="shared" si="3"/>
        <v>-13.258399999999998</v>
      </c>
      <c r="AA34">
        <f t="shared" si="4"/>
        <v>257.51080000000002</v>
      </c>
      <c r="AB34">
        <f t="shared" si="5"/>
        <v>13.2584</v>
      </c>
      <c r="AC34">
        <f t="shared" si="6"/>
        <v>3.3499999999999998E-68</v>
      </c>
      <c r="AD34">
        <f t="shared" si="7"/>
        <v>4.199999999999998E-3</v>
      </c>
      <c r="AE34">
        <f t="shared" si="8"/>
        <v>5.9999999999999995E-4</v>
      </c>
      <c r="AF34">
        <f t="shared" si="9"/>
        <v>0.91609999999999991</v>
      </c>
      <c r="AG34">
        <f t="shared" si="10"/>
        <v>-3.7599999999999967E-2</v>
      </c>
      <c r="AH34">
        <f t="shared" si="11"/>
        <v>70.603900000000067</v>
      </c>
      <c r="AI34">
        <f t="shared" si="11"/>
        <v>3</v>
      </c>
    </row>
    <row r="35" spans="1:35" x14ac:dyDescent="0.25">
      <c r="A35">
        <v>27447</v>
      </c>
      <c r="B35" t="s">
        <v>35</v>
      </c>
      <c r="C35">
        <v>54.174199999999999</v>
      </c>
      <c r="D35">
        <v>0.12970000000000001</v>
      </c>
      <c r="E35">
        <v>98.926400000000001</v>
      </c>
      <c r="F35">
        <v>5.9866000000000001</v>
      </c>
      <c r="G35" s="1">
        <v>1.03E-7</v>
      </c>
      <c r="H35">
        <v>0.82940000000000003</v>
      </c>
      <c r="I35">
        <v>1E-3</v>
      </c>
      <c r="J35" s="1">
        <v>4.5500000000000001E-5</v>
      </c>
      <c r="K35">
        <v>0.75760000000000005</v>
      </c>
      <c r="L35">
        <v>906.98950000000002</v>
      </c>
      <c r="M35">
        <v>76</v>
      </c>
      <c r="N35">
        <v>52.573999999999998</v>
      </c>
      <c r="O35">
        <v>0.52470000000000006</v>
      </c>
      <c r="P35">
        <v>88.275700000000001</v>
      </c>
      <c r="Q35">
        <v>5.5915999999999997</v>
      </c>
      <c r="R35" s="1">
        <v>6.5700000000000002E-7</v>
      </c>
      <c r="S35">
        <v>0.34429999999999999</v>
      </c>
      <c r="T35">
        <v>1.9E-3</v>
      </c>
      <c r="U35">
        <v>1E-4</v>
      </c>
      <c r="V35">
        <v>0.74870000000000003</v>
      </c>
      <c r="W35">
        <v>873.86959999999999</v>
      </c>
      <c r="X35">
        <v>75</v>
      </c>
      <c r="Y35">
        <f t="shared" si="2"/>
        <v>1.600200000000001</v>
      </c>
      <c r="Z35">
        <f t="shared" si="3"/>
        <v>-0.39500000000000002</v>
      </c>
      <c r="AA35">
        <f t="shared" si="4"/>
        <v>10.650700000000001</v>
      </c>
      <c r="AB35">
        <f t="shared" si="5"/>
        <v>0.39500000000000046</v>
      </c>
      <c r="AC35">
        <f t="shared" si="6"/>
        <v>-5.5400000000000001E-7</v>
      </c>
      <c r="AD35">
        <f t="shared" si="7"/>
        <v>0.48510000000000003</v>
      </c>
      <c r="AE35">
        <f t="shared" si="8"/>
        <v>-8.9999999999999998E-4</v>
      </c>
      <c r="AF35">
        <f t="shared" si="9"/>
        <v>-5.4500000000000003E-5</v>
      </c>
      <c r="AG35">
        <f t="shared" si="10"/>
        <v>8.900000000000019E-3</v>
      </c>
      <c r="AH35">
        <f t="shared" si="11"/>
        <v>33.11990000000003</v>
      </c>
      <c r="AI35">
        <f t="shared" si="11"/>
        <v>1</v>
      </c>
    </row>
    <row r="36" spans="1:35" x14ac:dyDescent="0.25">
      <c r="A36">
        <v>86038</v>
      </c>
      <c r="B36" t="s">
        <v>36</v>
      </c>
      <c r="C36">
        <v>63735.264300000003</v>
      </c>
      <c r="D36">
        <v>12.977</v>
      </c>
      <c r="E36">
        <v>18531.267899999999</v>
      </c>
      <c r="F36">
        <v>150.38910000000001</v>
      </c>
      <c r="G36" s="1">
        <v>8.7599999999999996E-236</v>
      </c>
      <c r="H36">
        <v>0.9425</v>
      </c>
      <c r="I36">
        <v>1E-3</v>
      </c>
      <c r="J36">
        <v>0.48470000000000002</v>
      </c>
      <c r="K36">
        <v>0.58689999999999998</v>
      </c>
      <c r="L36">
        <v>1665.8472999999999</v>
      </c>
      <c r="M36">
        <v>78</v>
      </c>
      <c r="N36">
        <v>62240.748699999996</v>
      </c>
      <c r="O36">
        <v>245.9418</v>
      </c>
      <c r="P36">
        <v>12609.8382</v>
      </c>
      <c r="Q36">
        <v>-82.575800000000001</v>
      </c>
      <c r="R36">
        <v>0</v>
      </c>
      <c r="S36">
        <v>6.0000000000000001E-3</v>
      </c>
      <c r="T36">
        <v>1E-4</v>
      </c>
      <c r="U36">
        <v>0.58550000000000002</v>
      </c>
      <c r="V36">
        <v>0.63690000000000002</v>
      </c>
      <c r="W36">
        <v>1572.2797</v>
      </c>
      <c r="X36">
        <v>75</v>
      </c>
      <c r="Y36">
        <f t="shared" si="2"/>
        <v>1494.5156000000061</v>
      </c>
      <c r="Z36">
        <f t="shared" si="3"/>
        <v>-232.9648</v>
      </c>
      <c r="AA36">
        <f t="shared" si="4"/>
        <v>5921.4296999999988</v>
      </c>
      <c r="AB36">
        <f t="shared" si="5"/>
        <v>232.9649</v>
      </c>
      <c r="AC36">
        <f t="shared" si="6"/>
        <v>8.7599999999999996E-236</v>
      </c>
      <c r="AD36">
        <f t="shared" si="7"/>
        <v>0.9365</v>
      </c>
      <c r="AE36">
        <f t="shared" si="8"/>
        <v>8.9999999999999998E-4</v>
      </c>
      <c r="AF36">
        <f t="shared" si="9"/>
        <v>-0.1008</v>
      </c>
      <c r="AG36">
        <f t="shared" si="10"/>
        <v>-5.0000000000000044E-2</v>
      </c>
      <c r="AH36">
        <f t="shared" si="11"/>
        <v>93.567599999999857</v>
      </c>
      <c r="AI36">
        <f t="shared" si="11"/>
        <v>3</v>
      </c>
    </row>
    <row r="37" spans="1:35" x14ac:dyDescent="0.25">
      <c r="A37">
        <v>86235</v>
      </c>
      <c r="B37" t="s">
        <v>37</v>
      </c>
      <c r="C37">
        <v>17558.409899999999</v>
      </c>
      <c r="D37">
        <v>113.2432</v>
      </c>
      <c r="E37">
        <v>5674.5968999999996</v>
      </c>
      <c r="F37">
        <v>63.438000000000002</v>
      </c>
      <c r="G37" s="1">
        <v>1.2500000000000001E-182</v>
      </c>
      <c r="H37">
        <v>3.5499999999999997E-2</v>
      </c>
      <c r="I37">
        <v>1.1999999999999999E-3</v>
      </c>
      <c r="J37">
        <v>0.3553</v>
      </c>
      <c r="K37">
        <v>0.76959999999999995</v>
      </c>
      <c r="L37">
        <v>1501.204</v>
      </c>
      <c r="M37">
        <v>78</v>
      </c>
      <c r="N37">
        <v>16968.855599999999</v>
      </c>
      <c r="O37">
        <v>197.0147</v>
      </c>
      <c r="P37">
        <v>3923.1941000000002</v>
      </c>
      <c r="Q37">
        <v>-20.333500000000001</v>
      </c>
      <c r="R37" s="1">
        <v>2.6299999999999999E-281</v>
      </c>
      <c r="S37" s="1">
        <v>2.2999999999999998E-13</v>
      </c>
      <c r="T37">
        <v>2.9999999999999997E-4</v>
      </c>
      <c r="U37">
        <v>0.69159999999999999</v>
      </c>
      <c r="V37">
        <v>0.80710000000000004</v>
      </c>
      <c r="W37">
        <v>1421.7364</v>
      </c>
      <c r="X37">
        <v>75</v>
      </c>
      <c r="Y37">
        <f t="shared" si="2"/>
        <v>589.55429999999978</v>
      </c>
      <c r="Z37">
        <f t="shared" si="3"/>
        <v>-83.771500000000003</v>
      </c>
      <c r="AA37">
        <f t="shared" si="4"/>
        <v>1751.4027999999994</v>
      </c>
      <c r="AB37">
        <f t="shared" si="5"/>
        <v>83.771500000000003</v>
      </c>
      <c r="AC37">
        <f t="shared" si="6"/>
        <v>1.2500000000000001E-182</v>
      </c>
      <c r="AD37">
        <f t="shared" si="7"/>
        <v>3.549999999977E-2</v>
      </c>
      <c r="AE37">
        <f t="shared" si="8"/>
        <v>8.9999999999999998E-4</v>
      </c>
      <c r="AF37">
        <f t="shared" si="9"/>
        <v>-0.33629999999999999</v>
      </c>
      <c r="AG37">
        <f t="shared" si="10"/>
        <v>-3.7500000000000089E-2</v>
      </c>
      <c r="AH37">
        <f t="shared" si="11"/>
        <v>79.467599999999948</v>
      </c>
      <c r="AI37">
        <f t="shared" si="11"/>
        <v>3</v>
      </c>
    </row>
    <row r="38" spans="1:35" x14ac:dyDescent="0.25">
      <c r="A38">
        <v>85305</v>
      </c>
      <c r="B38" t="s">
        <v>21</v>
      </c>
      <c r="C38">
        <v>292.63659999999999</v>
      </c>
      <c r="D38">
        <v>6.0096999999999996</v>
      </c>
      <c r="E38">
        <v>130.3914</v>
      </c>
      <c r="F38">
        <v>-9.1960999999999995</v>
      </c>
      <c r="G38" s="1">
        <v>5.0500000000000003E-48</v>
      </c>
      <c r="H38" s="1">
        <v>3.5099999999999999E-5</v>
      </c>
      <c r="I38">
        <v>1.2999999999999999E-3</v>
      </c>
      <c r="J38" s="1">
        <v>1.1700000000000001E-8</v>
      </c>
      <c r="K38">
        <v>0.6321</v>
      </c>
      <c r="L38">
        <v>911.26930000000004</v>
      </c>
      <c r="M38">
        <v>78</v>
      </c>
      <c r="N38">
        <v>279.83069999999998</v>
      </c>
      <c r="O38">
        <v>7.9348000000000001</v>
      </c>
      <c r="P38">
        <v>99.620800000000003</v>
      </c>
      <c r="Q38">
        <v>-11.1213</v>
      </c>
      <c r="R38" s="1">
        <v>3.3099999999999999E-38</v>
      </c>
      <c r="S38" s="1">
        <v>4.7999999999999997E-13</v>
      </c>
      <c r="T38">
        <v>2.0000000000000001E-4</v>
      </c>
      <c r="U38" s="1">
        <v>1.2600000000000001E-17</v>
      </c>
      <c r="V38">
        <v>0.68720000000000003</v>
      </c>
      <c r="W38">
        <v>858.02170000000001</v>
      </c>
      <c r="X38">
        <v>75</v>
      </c>
      <c r="Y38">
        <f t="shared" si="2"/>
        <v>12.805900000000008</v>
      </c>
      <c r="Z38">
        <f t="shared" si="3"/>
        <v>-1.9251000000000005</v>
      </c>
      <c r="AA38">
        <f t="shared" si="4"/>
        <v>30.770600000000002</v>
      </c>
      <c r="AB38">
        <f t="shared" si="5"/>
        <v>1.9252000000000002</v>
      </c>
      <c r="AC38">
        <f t="shared" si="6"/>
        <v>-3.3099999994949998E-38</v>
      </c>
      <c r="AD38">
        <f t="shared" si="7"/>
        <v>3.5099999520000001E-5</v>
      </c>
      <c r="AE38">
        <f t="shared" si="8"/>
        <v>1.0999999999999998E-3</v>
      </c>
      <c r="AF38">
        <f t="shared" si="9"/>
        <v>1.16999999874E-8</v>
      </c>
      <c r="AG38">
        <f t="shared" si="10"/>
        <v>-5.5100000000000038E-2</v>
      </c>
      <c r="AH38">
        <f t="shared" si="11"/>
        <v>53.247600000000034</v>
      </c>
      <c r="AI38">
        <f t="shared" si="11"/>
        <v>3</v>
      </c>
    </row>
    <row r="39" spans="1:35" x14ac:dyDescent="0.25">
      <c r="A39">
        <v>92557</v>
      </c>
      <c r="B39" t="s">
        <v>38</v>
      </c>
      <c r="C39">
        <v>8704.3678999999993</v>
      </c>
      <c r="D39">
        <v>3122.4901</v>
      </c>
      <c r="E39">
        <v>-49279.449000000001</v>
      </c>
      <c r="F39">
        <v>-4129.1755999999996</v>
      </c>
      <c r="G39">
        <v>0.14899999999999999</v>
      </c>
      <c r="H39" s="1">
        <v>3.8399999999999999E-22</v>
      </c>
      <c r="I39">
        <v>1.2999999999999999E-3</v>
      </c>
      <c r="J39" s="1">
        <v>3.0400000000000001E-15</v>
      </c>
      <c r="K39">
        <v>0.6079</v>
      </c>
      <c r="L39">
        <v>1785.1541999999999</v>
      </c>
      <c r="M39">
        <v>78</v>
      </c>
      <c r="N39">
        <v>5006.5312000000004</v>
      </c>
      <c r="O39">
        <v>3488.9308000000001</v>
      </c>
      <c r="P39">
        <v>-47940.245300000002</v>
      </c>
      <c r="Q39">
        <v>-4495.6162999999997</v>
      </c>
      <c r="R39">
        <v>0.47049999999999997</v>
      </c>
      <c r="S39" s="1">
        <v>1.9300000000000001E-18</v>
      </c>
      <c r="T39">
        <v>2.0999999999999999E-3</v>
      </c>
      <c r="U39" s="1">
        <v>3.9499999999999999E-15</v>
      </c>
      <c r="V39">
        <v>0.60919999999999996</v>
      </c>
      <c r="W39">
        <v>1714.6934000000001</v>
      </c>
      <c r="X39">
        <v>75</v>
      </c>
      <c r="Y39">
        <f t="shared" si="2"/>
        <v>3697.8366999999989</v>
      </c>
      <c r="Z39">
        <f t="shared" si="3"/>
        <v>-366.44070000000011</v>
      </c>
      <c r="AA39">
        <f t="shared" si="4"/>
        <v>-1339.2036999999982</v>
      </c>
      <c r="AB39">
        <f t="shared" si="5"/>
        <v>366.44070000000011</v>
      </c>
      <c r="AC39">
        <f t="shared" si="6"/>
        <v>-0.32150000000000001</v>
      </c>
      <c r="AD39">
        <f t="shared" si="7"/>
        <v>-1.929616E-18</v>
      </c>
      <c r="AE39">
        <f t="shared" si="8"/>
        <v>-7.9999999999999993E-4</v>
      </c>
      <c r="AF39">
        <f t="shared" si="9"/>
        <v>-9.099999999999998E-16</v>
      </c>
      <c r="AG39">
        <f t="shared" si="10"/>
        <v>-1.2999999999999678E-3</v>
      </c>
      <c r="AH39">
        <f t="shared" si="11"/>
        <v>70.460799999999836</v>
      </c>
      <c r="AI39">
        <f t="shared" si="11"/>
        <v>3</v>
      </c>
    </row>
    <row r="40" spans="1:35" x14ac:dyDescent="0.25">
      <c r="A40">
        <v>83520</v>
      </c>
      <c r="B40" t="s">
        <v>39</v>
      </c>
      <c r="C40">
        <v>14438.570599999999</v>
      </c>
      <c r="D40">
        <v>681.50710000000004</v>
      </c>
      <c r="E40">
        <v>5787.1741000000002</v>
      </c>
      <c r="F40">
        <v>-915.56870000000004</v>
      </c>
      <c r="G40" s="1">
        <v>6.9300000000000005E-89</v>
      </c>
      <c r="H40" s="1">
        <v>1.7899999999999999E-44</v>
      </c>
      <c r="I40">
        <v>1.4E-3</v>
      </c>
      <c r="J40" s="1">
        <v>1.5000000000000001E-40</v>
      </c>
      <c r="K40">
        <v>0.87070000000000003</v>
      </c>
      <c r="L40">
        <v>1496.0702000000001</v>
      </c>
      <c r="M40">
        <v>78</v>
      </c>
      <c r="N40">
        <v>13434.094499999999</v>
      </c>
      <c r="O40">
        <v>808.68349999999998</v>
      </c>
      <c r="P40">
        <v>4766.5263000000004</v>
      </c>
      <c r="Q40">
        <v>-1042.7452000000001</v>
      </c>
      <c r="R40" s="1">
        <v>1.05E-76</v>
      </c>
      <c r="S40" s="1">
        <v>1.02E-122</v>
      </c>
      <c r="T40">
        <v>6.9999999999999999E-4</v>
      </c>
      <c r="U40" s="1">
        <v>7.0500000000000002E-68</v>
      </c>
      <c r="V40">
        <v>0.89600000000000002</v>
      </c>
      <c r="W40">
        <v>1423.5539000000001</v>
      </c>
      <c r="X40">
        <v>75</v>
      </c>
      <c r="Y40">
        <f t="shared" si="2"/>
        <v>1004.4760999999999</v>
      </c>
      <c r="Z40">
        <f t="shared" si="3"/>
        <v>-127.17639999999994</v>
      </c>
      <c r="AA40">
        <f t="shared" si="4"/>
        <v>1020.6477999999997</v>
      </c>
      <c r="AB40">
        <f t="shared" si="5"/>
        <v>127.17650000000003</v>
      </c>
      <c r="AC40">
        <f t="shared" si="6"/>
        <v>-1.049999999999307E-76</v>
      </c>
      <c r="AD40">
        <f t="shared" si="7"/>
        <v>1.7899999999999999E-44</v>
      </c>
      <c r="AE40">
        <f t="shared" si="8"/>
        <v>6.9999999999999999E-4</v>
      </c>
      <c r="AF40">
        <f t="shared" si="9"/>
        <v>1.5000000000000001E-40</v>
      </c>
      <c r="AG40">
        <f t="shared" si="10"/>
        <v>-2.5299999999999989E-2</v>
      </c>
      <c r="AH40">
        <f t="shared" si="11"/>
        <v>72.516300000000001</v>
      </c>
      <c r="AI40">
        <f t="shared" si="11"/>
        <v>3</v>
      </c>
    </row>
    <row r="41" spans="1:35" x14ac:dyDescent="0.25">
      <c r="A41">
        <v>93303</v>
      </c>
      <c r="B41" t="s">
        <v>40</v>
      </c>
      <c r="C41">
        <v>24302.1021</v>
      </c>
      <c r="D41">
        <v>178.8434</v>
      </c>
      <c r="E41">
        <v>7027.3868000000002</v>
      </c>
      <c r="F41">
        <v>-141.58459999999999</v>
      </c>
      <c r="G41" s="1">
        <v>2.0399999999999998E-238</v>
      </c>
      <c r="H41">
        <v>1.5100000000000001E-2</v>
      </c>
      <c r="I41">
        <v>1.6000000000000001E-3</v>
      </c>
      <c r="J41">
        <v>8.43E-2</v>
      </c>
      <c r="K41">
        <v>0.70389999999999997</v>
      </c>
      <c r="L41">
        <v>1518.0669</v>
      </c>
      <c r="M41">
        <v>78</v>
      </c>
      <c r="N41">
        <v>23497.188900000001</v>
      </c>
      <c r="O41">
        <v>297.48630000000003</v>
      </c>
      <c r="P41">
        <v>4572.2565000000004</v>
      </c>
      <c r="Q41">
        <v>-260.22750000000002</v>
      </c>
      <c r="R41">
        <v>0</v>
      </c>
      <c r="S41" s="1">
        <v>6.2400000000000002E-31</v>
      </c>
      <c r="T41" s="1">
        <v>5.49E-6</v>
      </c>
      <c r="U41" s="1">
        <v>7.5499999999999998E-9</v>
      </c>
      <c r="V41">
        <v>0.7903</v>
      </c>
      <c r="W41">
        <v>1419.1765</v>
      </c>
      <c r="X41">
        <v>75</v>
      </c>
      <c r="Y41">
        <f t="shared" si="2"/>
        <v>804.91319999999905</v>
      </c>
      <c r="Z41">
        <f t="shared" si="3"/>
        <v>-118.64290000000003</v>
      </c>
      <c r="AA41">
        <f t="shared" si="4"/>
        <v>2455.1302999999998</v>
      </c>
      <c r="AB41">
        <f t="shared" si="5"/>
        <v>118.64290000000003</v>
      </c>
      <c r="AC41">
        <f t="shared" si="6"/>
        <v>2.0399999999999998E-238</v>
      </c>
      <c r="AD41">
        <f t="shared" si="7"/>
        <v>1.5100000000000001E-2</v>
      </c>
      <c r="AE41">
        <f t="shared" si="8"/>
        <v>1.5945100000000002E-3</v>
      </c>
      <c r="AF41">
        <f t="shared" si="9"/>
        <v>8.429999245E-2</v>
      </c>
      <c r="AG41">
        <f t="shared" si="10"/>
        <v>-8.6400000000000032E-2</v>
      </c>
      <c r="AH41">
        <f t="shared" si="11"/>
        <v>98.8904</v>
      </c>
      <c r="AI41">
        <f t="shared" si="11"/>
        <v>3</v>
      </c>
    </row>
    <row r="42" spans="1:35" x14ac:dyDescent="0.25">
      <c r="A42">
        <v>86160</v>
      </c>
      <c r="B42" t="s">
        <v>41</v>
      </c>
      <c r="C42">
        <v>14967.027</v>
      </c>
      <c r="D42">
        <v>81.317499999999995</v>
      </c>
      <c r="E42">
        <v>4269.3086999999996</v>
      </c>
      <c r="F42">
        <v>59.773499999999999</v>
      </c>
      <c r="G42" s="1">
        <v>4.6100000000000001E-208</v>
      </c>
      <c r="H42">
        <v>5.3100000000000001E-2</v>
      </c>
      <c r="I42">
        <v>1.6000000000000001E-3</v>
      </c>
      <c r="J42">
        <v>0.2555</v>
      </c>
      <c r="K42">
        <v>0.76729999999999998</v>
      </c>
      <c r="L42">
        <v>1460.1386</v>
      </c>
      <c r="M42">
        <v>78</v>
      </c>
      <c r="N42">
        <v>14527.1283</v>
      </c>
      <c r="O42">
        <v>144.8954</v>
      </c>
      <c r="P42">
        <v>2918.6676000000002</v>
      </c>
      <c r="Q42">
        <v>-3.8043999999999998</v>
      </c>
      <c r="R42" s="1">
        <v>7.2700000000000002E-230</v>
      </c>
      <c r="S42" s="1">
        <v>9.0499999999999998E-10</v>
      </c>
      <c r="T42">
        <v>5.9999999999999995E-4</v>
      </c>
      <c r="U42">
        <v>0.92359999999999998</v>
      </c>
      <c r="V42">
        <v>0.80569999999999997</v>
      </c>
      <c r="W42">
        <v>1381.6998000000001</v>
      </c>
      <c r="X42">
        <v>75</v>
      </c>
      <c r="Y42">
        <f t="shared" si="2"/>
        <v>439.89869999999974</v>
      </c>
      <c r="Z42">
        <f t="shared" si="3"/>
        <v>-63.5779</v>
      </c>
      <c r="AA42">
        <f t="shared" si="4"/>
        <v>1350.6410999999994</v>
      </c>
      <c r="AB42">
        <f t="shared" si="5"/>
        <v>63.5779</v>
      </c>
      <c r="AC42">
        <f t="shared" si="6"/>
        <v>4.6100000000000001E-208</v>
      </c>
      <c r="AD42">
        <f t="shared" si="7"/>
        <v>5.3099999095000003E-2</v>
      </c>
      <c r="AE42">
        <f t="shared" si="8"/>
        <v>1E-3</v>
      </c>
      <c r="AF42">
        <f t="shared" si="9"/>
        <v>-0.66809999999999992</v>
      </c>
      <c r="AG42">
        <f t="shared" si="10"/>
        <v>-3.839999999999999E-2</v>
      </c>
      <c r="AH42">
        <f t="shared" si="11"/>
        <v>78.438799999999901</v>
      </c>
      <c r="AI42">
        <f t="shared" si="11"/>
        <v>3</v>
      </c>
    </row>
    <row r="43" spans="1:35" x14ac:dyDescent="0.25">
      <c r="A43">
        <v>93041</v>
      </c>
      <c r="B43" t="s">
        <v>33</v>
      </c>
      <c r="C43">
        <v>13680.060100000001</v>
      </c>
      <c r="D43">
        <v>-6.9573999999999998</v>
      </c>
      <c r="E43">
        <v>2332.2746999999999</v>
      </c>
      <c r="F43">
        <v>-154.83179999999999</v>
      </c>
      <c r="G43" s="1">
        <v>1.18E-188</v>
      </c>
      <c r="H43">
        <v>0.79330000000000001</v>
      </c>
      <c r="I43">
        <v>1.6000000000000001E-3</v>
      </c>
      <c r="J43" s="1">
        <v>9.4399999999999998E-7</v>
      </c>
      <c r="K43">
        <v>0.66190000000000004</v>
      </c>
      <c r="L43">
        <v>1334.6143</v>
      </c>
      <c r="M43">
        <v>78</v>
      </c>
      <c r="N43">
        <v>13581.016</v>
      </c>
      <c r="O43">
        <v>12.919499999999999</v>
      </c>
      <c r="P43">
        <v>1774.3873000000001</v>
      </c>
      <c r="Q43">
        <v>-174.70869999999999</v>
      </c>
      <c r="R43" s="1">
        <v>1.21E-164</v>
      </c>
      <c r="S43">
        <v>0.57979999999999998</v>
      </c>
      <c r="T43">
        <v>1.2999999999999999E-3</v>
      </c>
      <c r="U43" s="1">
        <v>2.1000000000000002E-9</v>
      </c>
      <c r="V43">
        <v>0.73850000000000005</v>
      </c>
      <c r="W43">
        <v>1263.2709</v>
      </c>
      <c r="X43">
        <v>75</v>
      </c>
      <c r="Y43">
        <f t="shared" si="2"/>
        <v>99.044100000000981</v>
      </c>
      <c r="Z43">
        <f t="shared" si="3"/>
        <v>-19.876899999999999</v>
      </c>
      <c r="AA43">
        <f t="shared" si="4"/>
        <v>557.88739999999984</v>
      </c>
      <c r="AB43">
        <f t="shared" si="5"/>
        <v>19.876900000000006</v>
      </c>
      <c r="AC43">
        <f t="shared" si="6"/>
        <v>-1.21E-164</v>
      </c>
      <c r="AD43">
        <f t="shared" si="7"/>
        <v>0.21350000000000002</v>
      </c>
      <c r="AE43">
        <f t="shared" si="8"/>
        <v>3.0000000000000014E-4</v>
      </c>
      <c r="AF43">
        <f t="shared" si="9"/>
        <v>9.4189999999999993E-7</v>
      </c>
      <c r="AG43">
        <f t="shared" si="10"/>
        <v>-7.6600000000000001E-2</v>
      </c>
      <c r="AH43">
        <f t="shared" si="11"/>
        <v>71.343399999999974</v>
      </c>
      <c r="AI43">
        <f t="shared" si="11"/>
        <v>3</v>
      </c>
    </row>
    <row r="44" spans="1:35" x14ac:dyDescent="0.25">
      <c r="A44">
        <v>11105</v>
      </c>
      <c r="B44" t="s">
        <v>42</v>
      </c>
      <c r="C44">
        <v>333.42669999999998</v>
      </c>
      <c r="D44">
        <v>-3.8052000000000001</v>
      </c>
      <c r="E44">
        <v>-116.41889999999999</v>
      </c>
      <c r="F44">
        <v>3.2808999999999999</v>
      </c>
      <c r="G44" s="1">
        <v>3.6500000000000001E-22</v>
      </c>
      <c r="H44">
        <v>8.6699999999999999E-2</v>
      </c>
      <c r="I44">
        <v>1.6999999999999999E-3</v>
      </c>
      <c r="J44">
        <v>0.1545</v>
      </c>
      <c r="K44">
        <v>0.66139999999999999</v>
      </c>
      <c r="L44">
        <v>744.9556</v>
      </c>
      <c r="M44">
        <v>66</v>
      </c>
      <c r="N44">
        <v>324.87450000000001</v>
      </c>
      <c r="O44">
        <v>-2.8635999999999999</v>
      </c>
      <c r="P44">
        <v>-138.1139</v>
      </c>
      <c r="Q44">
        <v>2.3393000000000002</v>
      </c>
      <c r="R44" s="1">
        <v>2.1900000000000002E-21</v>
      </c>
      <c r="S44">
        <v>0.33510000000000001</v>
      </c>
      <c r="T44">
        <v>2.3E-3</v>
      </c>
      <c r="U44">
        <v>0.43919999999999998</v>
      </c>
      <c r="V44">
        <v>0.65190000000000003</v>
      </c>
      <c r="W44">
        <v>715.11599999999999</v>
      </c>
      <c r="X44">
        <v>63</v>
      </c>
      <c r="Y44">
        <f t="shared" si="2"/>
        <v>8.5521999999999707</v>
      </c>
      <c r="Z44">
        <f t="shared" si="3"/>
        <v>-0.94160000000000021</v>
      </c>
      <c r="AA44">
        <f t="shared" si="4"/>
        <v>21.695000000000007</v>
      </c>
      <c r="AB44">
        <f t="shared" si="5"/>
        <v>0.94159999999999977</v>
      </c>
      <c r="AC44">
        <f t="shared" si="6"/>
        <v>-1.825E-21</v>
      </c>
      <c r="AD44">
        <f t="shared" si="7"/>
        <v>-0.24840000000000001</v>
      </c>
      <c r="AE44">
        <f t="shared" si="8"/>
        <v>-6.0000000000000006E-4</v>
      </c>
      <c r="AF44">
        <f t="shared" si="9"/>
        <v>-0.28469999999999995</v>
      </c>
      <c r="AG44">
        <f t="shared" si="10"/>
        <v>9.4999999999999529E-3</v>
      </c>
      <c r="AH44">
        <f t="shared" si="11"/>
        <v>29.839600000000019</v>
      </c>
      <c r="AI44">
        <f t="shared" si="11"/>
        <v>3</v>
      </c>
    </row>
    <row r="45" spans="1:35" x14ac:dyDescent="0.25">
      <c r="A45">
        <v>88341</v>
      </c>
      <c r="B45" t="s">
        <v>43</v>
      </c>
      <c r="C45">
        <v>8172.4084000000003</v>
      </c>
      <c r="D45">
        <v>97.673500000000004</v>
      </c>
      <c r="E45">
        <v>3620.6014</v>
      </c>
      <c r="F45">
        <v>-42.584299999999999</v>
      </c>
      <c r="G45" s="1">
        <v>3.7200000000000003E-114</v>
      </c>
      <c r="H45">
        <v>4.8999999999999998E-3</v>
      </c>
      <c r="I45">
        <v>2.2000000000000001E-3</v>
      </c>
      <c r="J45">
        <v>0.34539999999999998</v>
      </c>
      <c r="K45">
        <v>0.72889999999999999</v>
      </c>
      <c r="L45">
        <v>1428.1296</v>
      </c>
      <c r="M45">
        <v>78</v>
      </c>
      <c r="N45">
        <v>7805.1211999999996</v>
      </c>
      <c r="O45">
        <v>149.10230000000001</v>
      </c>
      <c r="P45">
        <v>2635.1878999999999</v>
      </c>
      <c r="Q45">
        <v>-94.013099999999994</v>
      </c>
      <c r="R45" s="1">
        <v>1.6299999999999999E-191</v>
      </c>
      <c r="S45" s="1">
        <v>9.2400000000000003E-15</v>
      </c>
      <c r="T45">
        <v>1.5E-3</v>
      </c>
      <c r="U45">
        <v>7.4999999999999997E-3</v>
      </c>
      <c r="V45">
        <v>0.76290000000000002</v>
      </c>
      <c r="W45">
        <v>1355.8685</v>
      </c>
      <c r="X45">
        <v>75</v>
      </c>
      <c r="Y45">
        <f t="shared" si="2"/>
        <v>367.28720000000067</v>
      </c>
      <c r="Z45">
        <f t="shared" si="3"/>
        <v>-51.42880000000001</v>
      </c>
      <c r="AA45">
        <f t="shared" si="4"/>
        <v>985.41350000000011</v>
      </c>
      <c r="AB45">
        <f t="shared" si="5"/>
        <v>51.428799999999995</v>
      </c>
      <c r="AC45">
        <f t="shared" si="6"/>
        <v>3.7200000000000003E-114</v>
      </c>
      <c r="AD45">
        <f t="shared" si="7"/>
        <v>4.8999999999907598E-3</v>
      </c>
      <c r="AE45">
        <f t="shared" si="8"/>
        <v>7.000000000000001E-4</v>
      </c>
      <c r="AF45">
        <f t="shared" si="9"/>
        <v>0.33789999999999998</v>
      </c>
      <c r="AG45">
        <f t="shared" si="10"/>
        <v>-3.400000000000003E-2</v>
      </c>
      <c r="AH45">
        <f t="shared" si="11"/>
        <v>72.261099999999942</v>
      </c>
      <c r="AI45">
        <f t="shared" si="11"/>
        <v>3</v>
      </c>
    </row>
    <row r="46" spans="1:35" x14ac:dyDescent="0.25">
      <c r="A46">
        <v>80061</v>
      </c>
      <c r="B46" t="s">
        <v>44</v>
      </c>
      <c r="C46">
        <v>989988.79429999995</v>
      </c>
      <c r="D46">
        <v>2353.2292000000002</v>
      </c>
      <c r="E46">
        <v>303788.7279</v>
      </c>
      <c r="F46">
        <v>2200.6734999999999</v>
      </c>
      <c r="G46" s="1">
        <v>2.3500000000000001E-185</v>
      </c>
      <c r="H46">
        <v>0.47099999999999997</v>
      </c>
      <c r="I46">
        <v>2.3E-3</v>
      </c>
      <c r="J46">
        <v>0.56189999999999996</v>
      </c>
      <c r="K46">
        <v>0.66369999999999996</v>
      </c>
      <c r="L46">
        <v>2108.3337000000001</v>
      </c>
      <c r="M46">
        <v>78</v>
      </c>
      <c r="N46">
        <v>962286.84490000003</v>
      </c>
      <c r="O46">
        <v>6661.1404000000002</v>
      </c>
      <c r="P46">
        <v>200697.2078</v>
      </c>
      <c r="Q46">
        <v>-2107.2377000000001</v>
      </c>
      <c r="R46" s="1">
        <v>3.0999999999999998E-237</v>
      </c>
      <c r="S46" s="1">
        <v>4.6499999999999999E-5</v>
      </c>
      <c r="T46">
        <v>2.9999999999999997E-4</v>
      </c>
      <c r="U46">
        <v>0.41360000000000002</v>
      </c>
      <c r="V46">
        <v>0.72960000000000003</v>
      </c>
      <c r="W46">
        <v>1993.6108999999999</v>
      </c>
      <c r="X46">
        <v>75</v>
      </c>
      <c r="Y46">
        <f t="shared" si="2"/>
        <v>27701.949399999925</v>
      </c>
      <c r="Z46">
        <f t="shared" si="3"/>
        <v>-4307.9112000000005</v>
      </c>
      <c r="AA46">
        <f t="shared" si="4"/>
        <v>103091.52009999999</v>
      </c>
      <c r="AB46">
        <f t="shared" si="5"/>
        <v>4307.9112000000005</v>
      </c>
      <c r="AC46">
        <f t="shared" si="6"/>
        <v>2.3500000000000001E-185</v>
      </c>
      <c r="AD46">
        <f t="shared" si="7"/>
        <v>0.47095349999999997</v>
      </c>
      <c r="AE46">
        <f t="shared" si="8"/>
        <v>2E-3</v>
      </c>
      <c r="AF46">
        <f t="shared" si="9"/>
        <v>0.14829999999999993</v>
      </c>
      <c r="AG46">
        <f t="shared" si="10"/>
        <v>-6.590000000000007E-2</v>
      </c>
      <c r="AH46">
        <f t="shared" si="11"/>
        <v>114.72280000000023</v>
      </c>
      <c r="AI46">
        <f t="shared" si="11"/>
        <v>3</v>
      </c>
    </row>
    <row r="47" spans="1:35" x14ac:dyDescent="0.25">
      <c r="A47">
        <v>95886</v>
      </c>
      <c r="B47" t="s">
        <v>45</v>
      </c>
      <c r="C47">
        <v>18269.250800000002</v>
      </c>
      <c r="D47">
        <v>15.1968</v>
      </c>
      <c r="E47">
        <v>6193.1823999999997</v>
      </c>
      <c r="F47">
        <v>43.984299999999998</v>
      </c>
      <c r="G47" s="1">
        <v>3.1600000000000002E-129</v>
      </c>
      <c r="H47">
        <v>0.82289999999999996</v>
      </c>
      <c r="I47">
        <v>2.8999999999999998E-3</v>
      </c>
      <c r="J47">
        <v>0.57999999999999996</v>
      </c>
      <c r="K47">
        <v>0.54310000000000003</v>
      </c>
      <c r="L47">
        <v>1514.8916999999999</v>
      </c>
      <c r="M47">
        <v>78</v>
      </c>
      <c r="N47">
        <v>17749.682700000001</v>
      </c>
      <c r="O47">
        <v>99.9422</v>
      </c>
      <c r="P47">
        <v>4046.4881</v>
      </c>
      <c r="Q47">
        <v>-40.761099999999999</v>
      </c>
      <c r="R47" s="1">
        <v>1.7199999999999999E-169</v>
      </c>
      <c r="S47">
        <v>2.8E-3</v>
      </c>
      <c r="T47">
        <v>6.9999999999999999E-4</v>
      </c>
      <c r="U47">
        <v>0.44750000000000001</v>
      </c>
      <c r="V47">
        <v>0.58069999999999999</v>
      </c>
      <c r="W47">
        <v>1431.1588999999999</v>
      </c>
      <c r="X47">
        <v>75</v>
      </c>
      <c r="Y47">
        <f t="shared" si="2"/>
        <v>519.56810000000041</v>
      </c>
      <c r="Z47">
        <f t="shared" si="3"/>
        <v>-84.745400000000004</v>
      </c>
      <c r="AA47">
        <f t="shared" si="4"/>
        <v>2146.6942999999997</v>
      </c>
      <c r="AB47">
        <f t="shared" si="5"/>
        <v>84.745399999999989</v>
      </c>
      <c r="AC47">
        <f t="shared" si="6"/>
        <v>3.1600000000000002E-129</v>
      </c>
      <c r="AD47">
        <f t="shared" si="7"/>
        <v>0.82009999999999994</v>
      </c>
      <c r="AE47">
        <f t="shared" si="8"/>
        <v>2.1999999999999997E-3</v>
      </c>
      <c r="AF47">
        <f t="shared" si="9"/>
        <v>0.13249999999999995</v>
      </c>
      <c r="AG47">
        <f t="shared" si="10"/>
        <v>-3.7599999999999967E-2</v>
      </c>
      <c r="AH47">
        <f t="shared" si="11"/>
        <v>83.732799999999997</v>
      </c>
      <c r="AI47">
        <f t="shared" si="11"/>
        <v>3</v>
      </c>
    </row>
    <row r="48" spans="1:35" x14ac:dyDescent="0.25">
      <c r="A48">
        <v>93000</v>
      </c>
      <c r="B48" t="s">
        <v>46</v>
      </c>
      <c r="C48">
        <v>187788.45050000001</v>
      </c>
      <c r="D48">
        <v>-488.32100000000003</v>
      </c>
      <c r="E48">
        <v>57014.184500000003</v>
      </c>
      <c r="F48">
        <v>1288.5349000000001</v>
      </c>
      <c r="G48" s="1">
        <v>1.6E-166</v>
      </c>
      <c r="H48">
        <v>0.43690000000000001</v>
      </c>
      <c r="I48">
        <v>3.5000000000000001E-3</v>
      </c>
      <c r="J48">
        <v>8.5999999999999993E-2</v>
      </c>
      <c r="K48">
        <v>0.50870000000000004</v>
      </c>
      <c r="L48">
        <v>1862.3127999999999</v>
      </c>
      <c r="M48">
        <v>78</v>
      </c>
      <c r="N48">
        <v>181822.22099999999</v>
      </c>
      <c r="O48">
        <v>365.02409999999998</v>
      </c>
      <c r="P48">
        <v>34208.409599999999</v>
      </c>
      <c r="Q48">
        <v>435.18990000000002</v>
      </c>
      <c r="R48" s="1">
        <v>4.0199999999999999E-235</v>
      </c>
      <c r="S48">
        <v>0.2838</v>
      </c>
      <c r="T48">
        <v>2.5000000000000001E-3</v>
      </c>
      <c r="U48">
        <v>0.42649999999999999</v>
      </c>
      <c r="V48">
        <v>0.54430000000000001</v>
      </c>
      <c r="W48">
        <v>1760.2183</v>
      </c>
      <c r="X48">
        <v>75</v>
      </c>
      <c r="Y48">
        <f t="shared" si="2"/>
        <v>5966.2295000000158</v>
      </c>
      <c r="Z48">
        <f t="shared" si="3"/>
        <v>-853.3451</v>
      </c>
      <c r="AA48">
        <f t="shared" si="4"/>
        <v>22805.774900000004</v>
      </c>
      <c r="AB48">
        <f t="shared" si="5"/>
        <v>853.34500000000003</v>
      </c>
      <c r="AC48">
        <f t="shared" si="6"/>
        <v>1.6E-166</v>
      </c>
      <c r="AD48">
        <f t="shared" si="7"/>
        <v>0.15310000000000001</v>
      </c>
      <c r="AE48">
        <f t="shared" si="8"/>
        <v>1E-3</v>
      </c>
      <c r="AF48">
        <f t="shared" si="9"/>
        <v>-0.34050000000000002</v>
      </c>
      <c r="AG48">
        <f t="shared" si="10"/>
        <v>-3.5599999999999965E-2</v>
      </c>
      <c r="AH48">
        <f t="shared" si="11"/>
        <v>102.09449999999993</v>
      </c>
      <c r="AI48">
        <f t="shared" si="11"/>
        <v>3</v>
      </c>
    </row>
    <row r="49" spans="1:35" x14ac:dyDescent="0.25">
      <c r="A49">
        <v>11102</v>
      </c>
      <c r="B49" t="s">
        <v>47</v>
      </c>
      <c r="C49">
        <v>8086.5466999999999</v>
      </c>
      <c r="D49">
        <v>-45.196100000000001</v>
      </c>
      <c r="E49">
        <v>3569.0736999999999</v>
      </c>
      <c r="F49">
        <v>78.279499999999999</v>
      </c>
      <c r="G49" s="1">
        <v>5.8999999999999996E-45</v>
      </c>
      <c r="H49">
        <v>0.42980000000000002</v>
      </c>
      <c r="I49">
        <v>3.8E-3</v>
      </c>
      <c r="J49">
        <v>0.21279999999999999</v>
      </c>
      <c r="K49">
        <v>0.46339999999999998</v>
      </c>
      <c r="L49">
        <v>1206.54</v>
      </c>
      <c r="M49">
        <v>66</v>
      </c>
      <c r="N49">
        <v>8143.2078000000001</v>
      </c>
      <c r="O49">
        <v>8.5648999999999997</v>
      </c>
      <c r="P49">
        <v>2301.6037999999999</v>
      </c>
      <c r="Q49">
        <v>24.5185</v>
      </c>
      <c r="R49" s="1">
        <v>1.87E-60</v>
      </c>
      <c r="S49">
        <v>0.82579999999999998</v>
      </c>
      <c r="T49">
        <v>2E-3</v>
      </c>
      <c r="U49">
        <v>0.61029999999999995</v>
      </c>
      <c r="V49">
        <v>0.43430000000000002</v>
      </c>
      <c r="W49">
        <v>1133.2421999999999</v>
      </c>
      <c r="X49">
        <v>63</v>
      </c>
      <c r="Y49">
        <f t="shared" si="2"/>
        <v>-56.66110000000026</v>
      </c>
      <c r="Z49">
        <f t="shared" si="3"/>
        <v>-53.761000000000003</v>
      </c>
      <c r="AA49">
        <f t="shared" si="4"/>
        <v>1267.4699000000001</v>
      </c>
      <c r="AB49">
        <f t="shared" si="5"/>
        <v>53.760999999999996</v>
      </c>
      <c r="AC49">
        <f t="shared" si="6"/>
        <v>5.8999999999999971E-45</v>
      </c>
      <c r="AD49">
        <f t="shared" si="7"/>
        <v>-0.39599999999999996</v>
      </c>
      <c r="AE49">
        <f t="shared" si="8"/>
        <v>1.8E-3</v>
      </c>
      <c r="AF49">
        <f t="shared" si="9"/>
        <v>-0.39749999999999996</v>
      </c>
      <c r="AG49">
        <f t="shared" si="10"/>
        <v>2.9099999999999959E-2</v>
      </c>
      <c r="AH49">
        <f t="shared" si="11"/>
        <v>73.297800000000052</v>
      </c>
      <c r="AI49">
        <f t="shared" si="11"/>
        <v>3</v>
      </c>
    </row>
    <row r="50" spans="1:35" x14ac:dyDescent="0.25">
      <c r="A50">
        <v>96146</v>
      </c>
      <c r="B50" t="s">
        <v>48</v>
      </c>
      <c r="C50">
        <v>1701.6667</v>
      </c>
      <c r="D50">
        <v>-65.293499999999995</v>
      </c>
      <c r="E50">
        <v>383.56180000000001</v>
      </c>
      <c r="F50">
        <v>59.720799999999997</v>
      </c>
      <c r="G50" s="1">
        <v>2.1099999999999999E-37</v>
      </c>
      <c r="H50" s="1">
        <v>2.1799999999999998E-11</v>
      </c>
      <c r="I50">
        <v>3.8999999999999998E-3</v>
      </c>
      <c r="J50" s="1">
        <v>6.48E-9</v>
      </c>
      <c r="K50">
        <v>0.78320000000000001</v>
      </c>
      <c r="L50">
        <v>897.50760000000002</v>
      </c>
      <c r="M50">
        <v>66</v>
      </c>
      <c r="N50">
        <v>1770.4416000000001</v>
      </c>
      <c r="O50">
        <v>-75.215599999999995</v>
      </c>
      <c r="P50">
        <v>317.34859999999998</v>
      </c>
      <c r="Q50">
        <v>69.642899999999997</v>
      </c>
      <c r="R50" s="1">
        <v>1.1999999999999999E-45</v>
      </c>
      <c r="S50" s="1">
        <v>1.7100000000000001E-14</v>
      </c>
      <c r="T50">
        <v>5.3E-3</v>
      </c>
      <c r="U50" s="1">
        <v>1.5100000000000001E-11</v>
      </c>
      <c r="V50">
        <v>0.81440000000000001</v>
      </c>
      <c r="W50">
        <v>848.96079999999995</v>
      </c>
      <c r="X50">
        <v>63</v>
      </c>
      <c r="Y50">
        <f t="shared" si="2"/>
        <v>-68.774900000000116</v>
      </c>
      <c r="Z50">
        <f t="shared" si="3"/>
        <v>9.9221000000000004</v>
      </c>
      <c r="AA50">
        <f t="shared" si="4"/>
        <v>66.213200000000029</v>
      </c>
      <c r="AB50">
        <f t="shared" si="5"/>
        <v>-9.9221000000000004</v>
      </c>
      <c r="AC50">
        <f t="shared" si="6"/>
        <v>2.109999988E-37</v>
      </c>
      <c r="AD50">
        <f t="shared" si="7"/>
        <v>2.1782899999999998E-11</v>
      </c>
      <c r="AE50">
        <f t="shared" si="8"/>
        <v>-1.4000000000000002E-3</v>
      </c>
      <c r="AF50">
        <f t="shared" si="9"/>
        <v>6.4648999999999999E-9</v>
      </c>
      <c r="AG50">
        <f t="shared" si="10"/>
        <v>-3.1200000000000006E-2</v>
      </c>
      <c r="AH50">
        <f t="shared" si="11"/>
        <v>48.546800000000076</v>
      </c>
      <c r="AI50">
        <f t="shared" si="11"/>
        <v>3</v>
      </c>
    </row>
    <row r="51" spans="1:35" x14ac:dyDescent="0.25">
      <c r="A51">
        <v>93306</v>
      </c>
      <c r="B51" t="s">
        <v>49</v>
      </c>
      <c r="C51">
        <v>208951.11259999999</v>
      </c>
      <c r="D51">
        <v>238.2936</v>
      </c>
      <c r="E51">
        <v>52356.843699999998</v>
      </c>
      <c r="F51">
        <v>96.74</v>
      </c>
      <c r="G51" s="1">
        <v>1.5000000000000001E-253</v>
      </c>
      <c r="H51">
        <v>0.67649999999999999</v>
      </c>
      <c r="I51">
        <v>4.1000000000000003E-3</v>
      </c>
      <c r="J51">
        <v>0.88539999999999996</v>
      </c>
      <c r="K51">
        <v>0.54779999999999995</v>
      </c>
      <c r="L51">
        <v>1841.8742999999999</v>
      </c>
      <c r="M51">
        <v>78</v>
      </c>
      <c r="N51">
        <v>203288.61319999999</v>
      </c>
      <c r="O51">
        <v>1064.2704000000001</v>
      </c>
      <c r="P51">
        <v>32302.965499999998</v>
      </c>
      <c r="Q51">
        <v>-729.23680000000002</v>
      </c>
      <c r="R51">
        <v>0</v>
      </c>
      <c r="S51" s="1">
        <v>1.6099999999999998E-5</v>
      </c>
      <c r="T51">
        <v>1.4E-3</v>
      </c>
      <c r="U51">
        <v>0.1003</v>
      </c>
      <c r="V51">
        <v>0.62629999999999997</v>
      </c>
      <c r="W51">
        <v>1732.7316000000001</v>
      </c>
      <c r="X51">
        <v>75</v>
      </c>
      <c r="Y51">
        <f t="shared" si="2"/>
        <v>5662.4994000000006</v>
      </c>
      <c r="Z51">
        <f t="shared" si="3"/>
        <v>-825.97680000000014</v>
      </c>
      <c r="AA51">
        <f t="shared" si="4"/>
        <v>20053.878199999999</v>
      </c>
      <c r="AB51">
        <f t="shared" si="5"/>
        <v>825.97680000000003</v>
      </c>
      <c r="AC51">
        <f t="shared" si="6"/>
        <v>1.5000000000000001E-253</v>
      </c>
      <c r="AD51">
        <f t="shared" si="7"/>
        <v>0.67648390000000003</v>
      </c>
      <c r="AE51">
        <f t="shared" si="8"/>
        <v>2.7000000000000001E-3</v>
      </c>
      <c r="AF51">
        <f t="shared" si="9"/>
        <v>0.78509999999999991</v>
      </c>
      <c r="AG51">
        <f t="shared" si="10"/>
        <v>-7.8500000000000014E-2</v>
      </c>
      <c r="AH51">
        <f t="shared" si="11"/>
        <v>109.14269999999988</v>
      </c>
      <c r="AI51">
        <f t="shared" si="11"/>
        <v>3</v>
      </c>
    </row>
    <row r="52" spans="1:35" x14ac:dyDescent="0.25">
      <c r="A52">
        <v>96136</v>
      </c>
      <c r="B52" t="s">
        <v>50</v>
      </c>
      <c r="C52">
        <v>7971.95</v>
      </c>
      <c r="D52">
        <v>-11.3109</v>
      </c>
      <c r="E52">
        <v>2533.1419000000001</v>
      </c>
      <c r="F52">
        <v>179.05889999999999</v>
      </c>
      <c r="G52" s="1">
        <v>1.5700000000000001E-61</v>
      </c>
      <c r="H52">
        <v>0.78849999999999998</v>
      </c>
      <c r="I52">
        <v>4.1999999999999997E-3</v>
      </c>
      <c r="J52">
        <v>2.9999999999999997E-4</v>
      </c>
      <c r="K52">
        <v>0.79830000000000001</v>
      </c>
      <c r="L52">
        <v>1183.3005000000001</v>
      </c>
      <c r="M52">
        <v>66</v>
      </c>
      <c r="N52">
        <v>7947.0346</v>
      </c>
      <c r="O52">
        <v>22.6584</v>
      </c>
      <c r="P52">
        <v>1844.7384999999999</v>
      </c>
      <c r="Q52">
        <v>145.08959999999999</v>
      </c>
      <c r="R52" s="1">
        <v>8.1800000000000001E-65</v>
      </c>
      <c r="S52">
        <v>0.55000000000000004</v>
      </c>
      <c r="T52">
        <v>9.7999999999999997E-3</v>
      </c>
      <c r="U52">
        <v>1.6000000000000001E-3</v>
      </c>
      <c r="V52">
        <v>0.79330000000000001</v>
      </c>
      <c r="W52">
        <v>1125.5978</v>
      </c>
      <c r="X52">
        <v>63</v>
      </c>
      <c r="Y52">
        <f t="shared" si="2"/>
        <v>24.915399999999863</v>
      </c>
      <c r="Z52">
        <f t="shared" si="3"/>
        <v>-33.969300000000004</v>
      </c>
      <c r="AA52">
        <f t="shared" si="4"/>
        <v>688.40340000000015</v>
      </c>
      <c r="AB52">
        <f t="shared" si="5"/>
        <v>33.969300000000004</v>
      </c>
      <c r="AC52">
        <f t="shared" si="6"/>
        <v>1.5691820000000002E-61</v>
      </c>
      <c r="AD52">
        <f t="shared" si="7"/>
        <v>0.23849999999999993</v>
      </c>
      <c r="AE52">
        <f t="shared" si="8"/>
        <v>-5.5999999999999999E-3</v>
      </c>
      <c r="AF52">
        <f t="shared" si="9"/>
        <v>-1.3000000000000002E-3</v>
      </c>
      <c r="AG52">
        <f t="shared" si="10"/>
        <v>5.0000000000000044E-3</v>
      </c>
      <c r="AH52">
        <f t="shared" si="11"/>
        <v>57.70270000000005</v>
      </c>
      <c r="AI52">
        <f t="shared" si="11"/>
        <v>3</v>
      </c>
    </row>
    <row r="53" spans="1:35" x14ac:dyDescent="0.25">
      <c r="A53">
        <v>83497</v>
      </c>
      <c r="B53" t="s">
        <v>51</v>
      </c>
      <c r="C53">
        <v>1165.7476999999999</v>
      </c>
      <c r="D53">
        <v>-21.366499999999998</v>
      </c>
      <c r="E53">
        <v>-214.9933</v>
      </c>
      <c r="F53">
        <v>20.236000000000001</v>
      </c>
      <c r="G53" s="1">
        <v>5.47E-33</v>
      </c>
      <c r="H53" s="1">
        <v>4.7300000000000001E-7</v>
      </c>
      <c r="I53">
        <v>4.8999999999999998E-3</v>
      </c>
      <c r="J53" s="1">
        <v>2.05E-5</v>
      </c>
      <c r="K53">
        <v>0.84750000000000003</v>
      </c>
      <c r="L53">
        <v>1014.8096</v>
      </c>
      <c r="M53">
        <v>78</v>
      </c>
      <c r="N53">
        <v>1196.5436999999999</v>
      </c>
      <c r="O53">
        <v>-24.253699999999998</v>
      </c>
      <c r="P53">
        <v>-217.50040000000001</v>
      </c>
      <c r="Q53">
        <v>23.123100000000001</v>
      </c>
      <c r="R53" s="1">
        <v>4.7300000000000001E-33</v>
      </c>
      <c r="S53" s="1">
        <v>3.0899999999999997E-7</v>
      </c>
      <c r="T53">
        <v>4.7000000000000002E-3</v>
      </c>
      <c r="U53" s="1">
        <v>9.2900000000000008E-6</v>
      </c>
      <c r="V53">
        <v>0.85580000000000001</v>
      </c>
      <c r="W53">
        <v>974.53489999999999</v>
      </c>
      <c r="X53">
        <v>75</v>
      </c>
      <c r="Y53">
        <f t="shared" si="2"/>
        <v>-30.796000000000049</v>
      </c>
      <c r="Z53">
        <f t="shared" si="3"/>
        <v>2.8872</v>
      </c>
      <c r="AA53">
        <f t="shared" si="4"/>
        <v>2.5071000000000083</v>
      </c>
      <c r="AB53">
        <f t="shared" si="5"/>
        <v>-2.8871000000000002</v>
      </c>
      <c r="AC53">
        <f t="shared" si="6"/>
        <v>7.3999999999999989E-34</v>
      </c>
      <c r="AD53">
        <f t="shared" si="7"/>
        <v>1.6400000000000004E-7</v>
      </c>
      <c r="AE53">
        <f t="shared" si="8"/>
        <v>1.9999999999999966E-4</v>
      </c>
      <c r="AF53">
        <f t="shared" si="9"/>
        <v>1.1209999999999999E-5</v>
      </c>
      <c r="AG53">
        <f t="shared" si="10"/>
        <v>-8.2999999999999741E-3</v>
      </c>
      <c r="AH53">
        <f t="shared" si="11"/>
        <v>40.274700000000053</v>
      </c>
      <c r="AI53">
        <f t="shared" si="11"/>
        <v>3</v>
      </c>
    </row>
    <row r="54" spans="1:35" x14ac:dyDescent="0.25">
      <c r="A54">
        <v>71260</v>
      </c>
      <c r="B54" t="s">
        <v>52</v>
      </c>
      <c r="C54">
        <v>38674.599099999999</v>
      </c>
      <c r="D54">
        <v>269.9896</v>
      </c>
      <c r="E54">
        <v>8777.9259999999995</v>
      </c>
      <c r="F54">
        <v>-253.68809999999999</v>
      </c>
      <c r="G54" s="1">
        <v>6.7000000000000001E-254</v>
      </c>
      <c r="H54">
        <v>3.2000000000000002E-3</v>
      </c>
      <c r="I54">
        <v>5.0000000000000001E-3</v>
      </c>
      <c r="J54">
        <v>3.1E-2</v>
      </c>
      <c r="K54">
        <v>0.62670000000000003</v>
      </c>
      <c r="L54">
        <v>1583.2012</v>
      </c>
      <c r="M54">
        <v>78</v>
      </c>
      <c r="N54">
        <v>38002.851999999999</v>
      </c>
      <c r="O54">
        <v>384.56990000000002</v>
      </c>
      <c r="P54">
        <v>6593.0729000000001</v>
      </c>
      <c r="Q54">
        <v>-368.26830000000001</v>
      </c>
      <c r="R54" s="1">
        <v>1.32E-238</v>
      </c>
      <c r="S54" s="1">
        <v>9.1400000000000002E-11</v>
      </c>
      <c r="T54">
        <v>3.8999999999999998E-3</v>
      </c>
      <c r="U54">
        <v>1E-4</v>
      </c>
      <c r="V54">
        <v>0.66080000000000005</v>
      </c>
      <c r="W54">
        <v>1506.8958</v>
      </c>
      <c r="X54">
        <v>75</v>
      </c>
      <c r="Y54">
        <f t="shared" si="2"/>
        <v>671.7471000000005</v>
      </c>
      <c r="Z54">
        <f t="shared" si="3"/>
        <v>-114.58030000000002</v>
      </c>
      <c r="AA54">
        <f t="shared" si="4"/>
        <v>2184.8530999999994</v>
      </c>
      <c r="AB54">
        <f t="shared" si="5"/>
        <v>114.58020000000002</v>
      </c>
      <c r="AC54">
        <f t="shared" si="6"/>
        <v>-1.3199999999999993E-238</v>
      </c>
      <c r="AD54">
        <f t="shared" si="7"/>
        <v>3.1999999086000002E-3</v>
      </c>
      <c r="AE54">
        <f t="shared" si="8"/>
        <v>1.1000000000000003E-3</v>
      </c>
      <c r="AF54">
        <f t="shared" si="9"/>
        <v>3.09E-2</v>
      </c>
      <c r="AG54">
        <f t="shared" si="10"/>
        <v>-3.4100000000000019E-2</v>
      </c>
      <c r="AH54">
        <f t="shared" si="11"/>
        <v>76.305399999999963</v>
      </c>
      <c r="AI54">
        <f t="shared" si="11"/>
        <v>3</v>
      </c>
    </row>
    <row r="55" spans="1:35" x14ac:dyDescent="0.25">
      <c r="A55">
        <v>95816</v>
      </c>
      <c r="B55" t="s">
        <v>53</v>
      </c>
      <c r="C55">
        <v>8079.5150000000003</v>
      </c>
      <c r="D55">
        <v>-15.102399999999999</v>
      </c>
      <c r="E55">
        <v>2265.2087999999999</v>
      </c>
      <c r="F55">
        <v>74.018500000000003</v>
      </c>
      <c r="G55" s="1">
        <v>4.2899999999999999E-128</v>
      </c>
      <c r="H55">
        <v>0.55149999999999999</v>
      </c>
      <c r="I55">
        <v>5.1999999999999998E-3</v>
      </c>
      <c r="J55">
        <v>1.55E-2</v>
      </c>
      <c r="K55">
        <v>0.59340000000000004</v>
      </c>
      <c r="L55">
        <v>1371.0043000000001</v>
      </c>
      <c r="M55">
        <v>78</v>
      </c>
      <c r="N55">
        <v>7824.6630999999998</v>
      </c>
      <c r="O55">
        <v>21.0154</v>
      </c>
      <c r="P55">
        <v>1318.9830999999999</v>
      </c>
      <c r="Q55">
        <v>37.900700000000001</v>
      </c>
      <c r="R55" s="1">
        <v>2.7899999999999999E-159</v>
      </c>
      <c r="S55">
        <v>0.1179</v>
      </c>
      <c r="T55">
        <v>7.4999999999999997E-3</v>
      </c>
      <c r="U55">
        <v>8.6699999999999999E-2</v>
      </c>
      <c r="V55">
        <v>0.63119999999999998</v>
      </c>
      <c r="W55">
        <v>1291.8442</v>
      </c>
      <c r="X55">
        <v>75</v>
      </c>
      <c r="Y55">
        <f t="shared" si="2"/>
        <v>254.85190000000057</v>
      </c>
      <c r="Z55">
        <f t="shared" si="3"/>
        <v>-36.117800000000003</v>
      </c>
      <c r="AA55">
        <f t="shared" si="4"/>
        <v>946.22569999999996</v>
      </c>
      <c r="AB55">
        <f t="shared" si="5"/>
        <v>36.117800000000003</v>
      </c>
      <c r="AC55">
        <f t="shared" si="6"/>
        <v>4.2899999999999999E-128</v>
      </c>
      <c r="AD55">
        <f t="shared" si="7"/>
        <v>0.43359999999999999</v>
      </c>
      <c r="AE55">
        <f t="shared" si="8"/>
        <v>-2.3E-3</v>
      </c>
      <c r="AF55">
        <f t="shared" si="9"/>
        <v>-7.1199999999999999E-2</v>
      </c>
      <c r="AG55">
        <f t="shared" si="10"/>
        <v>-3.7799999999999945E-2</v>
      </c>
      <c r="AH55">
        <f t="shared" si="11"/>
        <v>79.160100000000057</v>
      </c>
      <c r="AI55">
        <f t="shared" si="11"/>
        <v>3</v>
      </c>
    </row>
    <row r="56" spans="1:35" x14ac:dyDescent="0.25">
      <c r="A56">
        <v>11103</v>
      </c>
      <c r="B56" t="s">
        <v>54</v>
      </c>
      <c r="C56">
        <v>821.77</v>
      </c>
      <c r="D56">
        <v>-2.5017</v>
      </c>
      <c r="E56">
        <v>347.14400000000001</v>
      </c>
      <c r="F56">
        <v>5.7279999999999998</v>
      </c>
      <c r="G56" s="1">
        <v>2.6499999999999998E-24</v>
      </c>
      <c r="H56">
        <v>0.66369999999999996</v>
      </c>
      <c r="I56">
        <v>5.8999999999999999E-3</v>
      </c>
      <c r="J56">
        <v>0.38919999999999999</v>
      </c>
      <c r="K56">
        <v>0.37680000000000002</v>
      </c>
      <c r="L56">
        <v>929.46810000000005</v>
      </c>
      <c r="M56">
        <v>66</v>
      </c>
      <c r="N56">
        <v>814.49779999999998</v>
      </c>
      <c r="O56">
        <v>3.9597000000000002</v>
      </c>
      <c r="P56">
        <v>217.68129999999999</v>
      </c>
      <c r="Q56">
        <v>-0.73350000000000004</v>
      </c>
      <c r="R56" s="1">
        <v>5.0100000000000002E-26</v>
      </c>
      <c r="S56">
        <v>0.46360000000000001</v>
      </c>
      <c r="T56">
        <v>2.5100000000000001E-2</v>
      </c>
      <c r="U56">
        <v>0.91020000000000001</v>
      </c>
      <c r="V56">
        <v>0.3271</v>
      </c>
      <c r="W56">
        <v>878.58360000000005</v>
      </c>
      <c r="X56">
        <v>63</v>
      </c>
      <c r="Y56">
        <f t="shared" si="2"/>
        <v>7.272199999999998</v>
      </c>
      <c r="Z56">
        <f t="shared" si="3"/>
        <v>-6.4614000000000003</v>
      </c>
      <c r="AA56">
        <f t="shared" si="4"/>
        <v>129.46270000000001</v>
      </c>
      <c r="AB56">
        <f t="shared" si="5"/>
        <v>6.4615</v>
      </c>
      <c r="AC56">
        <f t="shared" si="6"/>
        <v>2.5998999999999999E-24</v>
      </c>
      <c r="AD56">
        <f t="shared" si="7"/>
        <v>0.20009999999999994</v>
      </c>
      <c r="AE56">
        <f t="shared" si="8"/>
        <v>-1.9200000000000002E-2</v>
      </c>
      <c r="AF56">
        <f t="shared" si="9"/>
        <v>-0.52100000000000002</v>
      </c>
      <c r="AG56">
        <f t="shared" si="10"/>
        <v>4.9700000000000022E-2</v>
      </c>
      <c r="AH56">
        <f t="shared" si="11"/>
        <v>50.884500000000003</v>
      </c>
      <c r="AI56">
        <f t="shared" si="11"/>
        <v>3</v>
      </c>
    </row>
    <row r="57" spans="1:35" x14ac:dyDescent="0.25">
      <c r="A57">
        <v>88342</v>
      </c>
      <c r="B57" t="s">
        <v>43</v>
      </c>
      <c r="C57">
        <v>42088.0841</v>
      </c>
      <c r="D57">
        <v>264.11110000000002</v>
      </c>
      <c r="E57">
        <v>15409.175999999999</v>
      </c>
      <c r="F57">
        <v>-207.78790000000001</v>
      </c>
      <c r="G57" s="1">
        <v>2.0100000000000002E-130</v>
      </c>
      <c r="H57">
        <v>0.12970000000000001</v>
      </c>
      <c r="I57">
        <v>5.8999999999999999E-3</v>
      </c>
      <c r="J57">
        <v>0.3221</v>
      </c>
      <c r="K57">
        <v>0.58860000000000001</v>
      </c>
      <c r="L57">
        <v>1659.1523</v>
      </c>
      <c r="M57">
        <v>78</v>
      </c>
      <c r="N57">
        <v>40275.042800000003</v>
      </c>
      <c r="O57">
        <v>525.76440000000002</v>
      </c>
      <c r="P57">
        <v>9641.6448</v>
      </c>
      <c r="Q57">
        <v>-469.44119999999998</v>
      </c>
      <c r="R57" s="1">
        <v>2.1300000000000001E-238</v>
      </c>
      <c r="S57" s="1">
        <v>1.9699999999999999E-13</v>
      </c>
      <c r="T57">
        <v>2.5000000000000001E-3</v>
      </c>
      <c r="U57">
        <v>8.0000000000000004E-4</v>
      </c>
      <c r="V57">
        <v>0.66549999999999998</v>
      </c>
      <c r="W57">
        <v>1562.0831000000001</v>
      </c>
      <c r="X57">
        <v>75</v>
      </c>
      <c r="Y57">
        <f t="shared" si="2"/>
        <v>1813.0412999999971</v>
      </c>
      <c r="Z57">
        <f t="shared" si="3"/>
        <v>-261.6533</v>
      </c>
      <c r="AA57">
        <f t="shared" si="4"/>
        <v>5767.5311999999994</v>
      </c>
      <c r="AB57">
        <f t="shared" si="5"/>
        <v>261.65329999999994</v>
      </c>
      <c r="AC57">
        <f t="shared" si="6"/>
        <v>2.0100000000000002E-130</v>
      </c>
      <c r="AD57">
        <f t="shared" si="7"/>
        <v>0.129699999999803</v>
      </c>
      <c r="AE57">
        <f t="shared" si="8"/>
        <v>3.3999999999999998E-3</v>
      </c>
      <c r="AF57">
        <f t="shared" si="9"/>
        <v>0.32129999999999997</v>
      </c>
      <c r="AG57">
        <f t="shared" si="10"/>
        <v>-7.6899999999999968E-2</v>
      </c>
      <c r="AH57">
        <f t="shared" si="11"/>
        <v>97.06919999999991</v>
      </c>
      <c r="AI57">
        <f t="shared" si="11"/>
        <v>3</v>
      </c>
    </row>
    <row r="58" spans="1:35" x14ac:dyDescent="0.25">
      <c r="A58">
        <v>76700</v>
      </c>
      <c r="B58" t="s">
        <v>55</v>
      </c>
      <c r="C58">
        <v>59961.193700000003</v>
      </c>
      <c r="D58">
        <v>-297.98250000000002</v>
      </c>
      <c r="E58">
        <v>15633.4527</v>
      </c>
      <c r="F58">
        <v>267.44330000000002</v>
      </c>
      <c r="G58" s="1">
        <v>4.9399999999999998E-206</v>
      </c>
      <c r="H58">
        <v>0.1056</v>
      </c>
      <c r="I58">
        <v>6.0000000000000001E-3</v>
      </c>
      <c r="J58">
        <v>0.1976</v>
      </c>
      <c r="K58">
        <v>0.27939999999999998</v>
      </c>
      <c r="L58">
        <v>1650.711</v>
      </c>
      <c r="M58">
        <v>78</v>
      </c>
      <c r="N58">
        <v>58425.602500000001</v>
      </c>
      <c r="O58">
        <v>-69.325500000000005</v>
      </c>
      <c r="P58">
        <v>8958.0735999999997</v>
      </c>
      <c r="Q58">
        <v>38.7864</v>
      </c>
      <c r="R58">
        <v>0</v>
      </c>
      <c r="S58">
        <v>0.38469999999999999</v>
      </c>
      <c r="T58">
        <v>2.8999999999999998E-3</v>
      </c>
      <c r="U58">
        <v>0.76480000000000004</v>
      </c>
      <c r="V58">
        <v>0.24349999999999999</v>
      </c>
      <c r="W58">
        <v>1543.7276999999999</v>
      </c>
      <c r="X58">
        <v>75</v>
      </c>
      <c r="Y58">
        <f t="shared" si="2"/>
        <v>1535.5912000000026</v>
      </c>
      <c r="Z58">
        <f t="shared" si="3"/>
        <v>-228.65700000000001</v>
      </c>
      <c r="AA58">
        <f t="shared" si="4"/>
        <v>6675.3791000000001</v>
      </c>
      <c r="AB58">
        <f t="shared" si="5"/>
        <v>228.65690000000001</v>
      </c>
      <c r="AC58">
        <f t="shared" si="6"/>
        <v>4.9399999999999998E-206</v>
      </c>
      <c r="AD58">
        <f t="shared" si="7"/>
        <v>-0.27910000000000001</v>
      </c>
      <c r="AE58">
        <f t="shared" si="8"/>
        <v>3.1000000000000003E-3</v>
      </c>
      <c r="AF58">
        <f t="shared" si="9"/>
        <v>-0.56720000000000004</v>
      </c>
      <c r="AG58">
        <f t="shared" si="10"/>
        <v>3.5899999999999987E-2</v>
      </c>
      <c r="AH58">
        <f t="shared" si="11"/>
        <v>106.9833000000001</v>
      </c>
      <c r="AI58">
        <f t="shared" si="11"/>
        <v>3</v>
      </c>
    </row>
    <row r="59" spans="1:35" x14ac:dyDescent="0.25">
      <c r="A59">
        <v>93225</v>
      </c>
      <c r="B59" t="s">
        <v>34</v>
      </c>
      <c r="C59">
        <v>2504.6351</v>
      </c>
      <c r="D59">
        <v>7.5160999999999998</v>
      </c>
      <c r="E59">
        <v>904.42489999999998</v>
      </c>
      <c r="F59">
        <v>-45.450899999999997</v>
      </c>
      <c r="G59" s="1">
        <v>2.2900000000000001E-90</v>
      </c>
      <c r="H59">
        <v>0.46250000000000002</v>
      </c>
      <c r="I59">
        <v>6.1000000000000004E-3</v>
      </c>
      <c r="J59">
        <v>2.0000000000000001E-4</v>
      </c>
      <c r="K59">
        <v>0.32350000000000001</v>
      </c>
      <c r="L59">
        <v>1214.0369000000001</v>
      </c>
      <c r="M59">
        <v>78</v>
      </c>
      <c r="N59">
        <v>2417.2977000000001</v>
      </c>
      <c r="O59">
        <v>20.710599999999999</v>
      </c>
      <c r="P59">
        <v>592.08749999999998</v>
      </c>
      <c r="Q59">
        <v>-58.645400000000002</v>
      </c>
      <c r="R59" s="1">
        <v>3.6100000000000001E-109</v>
      </c>
      <c r="S59">
        <v>2.9999999999999997E-4</v>
      </c>
      <c r="T59">
        <v>7.0000000000000001E-3</v>
      </c>
      <c r="U59" s="1">
        <v>8.2999999999999998E-12</v>
      </c>
      <c r="V59">
        <v>0.42470000000000002</v>
      </c>
      <c r="W59">
        <v>1140.7139</v>
      </c>
      <c r="X59">
        <v>75</v>
      </c>
      <c r="Y59">
        <f t="shared" si="2"/>
        <v>87.337399999999889</v>
      </c>
      <c r="Z59">
        <f t="shared" si="3"/>
        <v>-13.1945</v>
      </c>
      <c r="AA59">
        <f t="shared" si="4"/>
        <v>312.3374</v>
      </c>
      <c r="AB59">
        <f t="shared" si="5"/>
        <v>13.194500000000005</v>
      </c>
      <c r="AC59">
        <f t="shared" si="6"/>
        <v>2.2900000000000001E-90</v>
      </c>
      <c r="AD59">
        <f t="shared" si="7"/>
        <v>0.4622</v>
      </c>
      <c r="AE59">
        <f t="shared" si="8"/>
        <v>-8.9999999999999976E-4</v>
      </c>
      <c r="AF59">
        <f t="shared" si="9"/>
        <v>1.999999917E-4</v>
      </c>
      <c r="AG59">
        <f t="shared" si="10"/>
        <v>-0.10120000000000001</v>
      </c>
      <c r="AH59">
        <f t="shared" si="11"/>
        <v>73.323000000000093</v>
      </c>
      <c r="AI59">
        <f t="shared" si="11"/>
        <v>3</v>
      </c>
    </row>
    <row r="60" spans="1:35" x14ac:dyDescent="0.25">
      <c r="A60">
        <v>96131</v>
      </c>
      <c r="B60" t="s">
        <v>56</v>
      </c>
      <c r="C60">
        <v>7710.7566999999999</v>
      </c>
      <c r="D60">
        <v>-67.703500000000005</v>
      </c>
      <c r="E60">
        <v>3533.3978000000002</v>
      </c>
      <c r="F60">
        <v>197.33150000000001</v>
      </c>
      <c r="G60" s="1">
        <v>9.6800000000000007E-27</v>
      </c>
      <c r="H60">
        <v>0.33710000000000001</v>
      </c>
      <c r="I60">
        <v>7.4999999999999997E-3</v>
      </c>
      <c r="J60">
        <v>8.2000000000000007E-3</v>
      </c>
      <c r="K60">
        <v>0.71760000000000002</v>
      </c>
      <c r="L60">
        <v>1197.5407</v>
      </c>
      <c r="M60">
        <v>66</v>
      </c>
      <c r="N60">
        <v>7651.5931</v>
      </c>
      <c r="O60">
        <v>-31.454499999999999</v>
      </c>
      <c r="P60">
        <v>2664.4722999999999</v>
      </c>
      <c r="Q60">
        <v>161.08250000000001</v>
      </c>
      <c r="R60" s="1">
        <v>6.1900000000000001E-28</v>
      </c>
      <c r="S60">
        <v>0.66010000000000002</v>
      </c>
      <c r="T60">
        <v>2.4299999999999999E-2</v>
      </c>
      <c r="U60">
        <v>3.32E-2</v>
      </c>
      <c r="V60">
        <v>0.7026</v>
      </c>
      <c r="W60">
        <v>1138.7002</v>
      </c>
      <c r="X60">
        <v>63</v>
      </c>
      <c r="Y60">
        <f t="shared" si="2"/>
        <v>59.16359999999986</v>
      </c>
      <c r="Z60">
        <f t="shared" si="3"/>
        <v>-36.249000000000009</v>
      </c>
      <c r="AA60">
        <f t="shared" si="4"/>
        <v>868.92550000000028</v>
      </c>
      <c r="AB60">
        <f t="shared" si="5"/>
        <v>36.248999999999995</v>
      </c>
      <c r="AC60">
        <f t="shared" si="6"/>
        <v>9.0610000000000003E-27</v>
      </c>
      <c r="AD60">
        <f t="shared" si="7"/>
        <v>-0.32300000000000001</v>
      </c>
      <c r="AE60">
        <f t="shared" si="8"/>
        <v>-1.6799999999999999E-2</v>
      </c>
      <c r="AF60">
        <f t="shared" si="9"/>
        <v>-2.5000000000000001E-2</v>
      </c>
      <c r="AG60">
        <f t="shared" si="10"/>
        <v>1.5000000000000013E-2</v>
      </c>
      <c r="AH60">
        <f t="shared" si="11"/>
        <v>58.84050000000002</v>
      </c>
      <c r="AI60">
        <f t="shared" si="11"/>
        <v>3</v>
      </c>
    </row>
    <row r="61" spans="1:35" x14ac:dyDescent="0.25">
      <c r="A61">
        <v>86162</v>
      </c>
      <c r="B61" t="s">
        <v>57</v>
      </c>
      <c r="C61">
        <v>1310.0255</v>
      </c>
      <c r="D61">
        <v>6.7049000000000003</v>
      </c>
      <c r="E61">
        <v>326.0942</v>
      </c>
      <c r="F61">
        <v>-9.1902000000000008</v>
      </c>
      <c r="G61" s="1">
        <v>2.9399999999999999E-95</v>
      </c>
      <c r="H61">
        <v>8.5500000000000007E-2</v>
      </c>
      <c r="I61">
        <v>7.7999999999999996E-3</v>
      </c>
      <c r="J61">
        <v>7.5700000000000003E-2</v>
      </c>
      <c r="K61">
        <v>0.39800000000000002</v>
      </c>
      <c r="L61">
        <v>1098.6056000000001</v>
      </c>
      <c r="M61">
        <v>78</v>
      </c>
      <c r="N61">
        <v>1265.0214000000001</v>
      </c>
      <c r="O61">
        <v>12.618</v>
      </c>
      <c r="P61">
        <v>201.9941</v>
      </c>
      <c r="Q61">
        <v>-15.103300000000001</v>
      </c>
      <c r="R61" s="1">
        <v>6.8400000000000001E-106</v>
      </c>
      <c r="S61" s="1">
        <v>2.3E-5</v>
      </c>
      <c r="T61">
        <v>2.52E-2</v>
      </c>
      <c r="U61">
        <v>1E-3</v>
      </c>
      <c r="V61">
        <v>0.43230000000000002</v>
      </c>
      <c r="W61">
        <v>1039.6815999999999</v>
      </c>
      <c r="X61">
        <v>75</v>
      </c>
      <c r="Y61">
        <f t="shared" si="2"/>
        <v>45.00409999999988</v>
      </c>
      <c r="Z61">
        <f t="shared" si="3"/>
        <v>-5.9131</v>
      </c>
      <c r="AA61">
        <f t="shared" si="4"/>
        <v>124.1001</v>
      </c>
      <c r="AB61">
        <f t="shared" si="5"/>
        <v>5.9131</v>
      </c>
      <c r="AC61">
        <f t="shared" si="6"/>
        <v>2.9399999999315998E-95</v>
      </c>
      <c r="AD61">
        <f t="shared" si="7"/>
        <v>8.5477000000000011E-2</v>
      </c>
      <c r="AE61">
        <f t="shared" si="8"/>
        <v>-1.7399999999999999E-2</v>
      </c>
      <c r="AF61">
        <f t="shared" si="9"/>
        <v>7.4700000000000003E-2</v>
      </c>
      <c r="AG61">
        <f t="shared" si="10"/>
        <v>-3.4299999999999997E-2</v>
      </c>
      <c r="AH61">
        <f t="shared" si="11"/>
        <v>58.924000000000206</v>
      </c>
      <c r="AI61">
        <f t="shared" si="11"/>
        <v>3</v>
      </c>
    </row>
    <row r="62" spans="1:35" x14ac:dyDescent="0.25">
      <c r="A62">
        <v>88314</v>
      </c>
      <c r="B62" t="s">
        <v>43</v>
      </c>
      <c r="C62">
        <v>480.10509999999999</v>
      </c>
      <c r="D62">
        <v>-5.9218999999999999</v>
      </c>
      <c r="E62">
        <v>-111.93340000000001</v>
      </c>
      <c r="F62">
        <v>4.9861000000000004</v>
      </c>
      <c r="G62" s="1">
        <v>1.4999999999999999E-75</v>
      </c>
      <c r="H62" s="1">
        <v>1.8499999999999999E-5</v>
      </c>
      <c r="I62">
        <v>8.0999999999999996E-3</v>
      </c>
      <c r="J62">
        <v>2.5999999999999999E-3</v>
      </c>
      <c r="K62">
        <v>0.79290000000000005</v>
      </c>
      <c r="L62">
        <v>887.27750000000003</v>
      </c>
      <c r="M62">
        <v>78</v>
      </c>
      <c r="N62">
        <v>477.40820000000002</v>
      </c>
      <c r="O62">
        <v>-5.8625999999999996</v>
      </c>
      <c r="P62">
        <v>-128.898</v>
      </c>
      <c r="Q62">
        <v>4.9268000000000001</v>
      </c>
      <c r="R62" s="1">
        <v>2.6999999999999999E-64</v>
      </c>
      <c r="S62">
        <v>1.5E-3</v>
      </c>
      <c r="T62">
        <v>8.3000000000000001E-3</v>
      </c>
      <c r="U62">
        <v>1.6500000000000001E-2</v>
      </c>
      <c r="V62">
        <v>0.78649999999999998</v>
      </c>
      <c r="W62">
        <v>858.22090000000003</v>
      </c>
      <c r="X62">
        <v>75</v>
      </c>
      <c r="Y62">
        <f t="shared" si="2"/>
        <v>2.696899999999971</v>
      </c>
      <c r="Z62">
        <f t="shared" si="3"/>
        <v>-5.9300000000000352E-2</v>
      </c>
      <c r="AA62">
        <f t="shared" si="4"/>
        <v>16.96459999999999</v>
      </c>
      <c r="AB62">
        <f t="shared" si="5"/>
        <v>5.9300000000000352E-2</v>
      </c>
      <c r="AC62">
        <f t="shared" si="6"/>
        <v>-2.6999999999849999E-64</v>
      </c>
      <c r="AD62">
        <f t="shared" si="7"/>
        <v>-1.4815E-3</v>
      </c>
      <c r="AE62">
        <f t="shared" si="8"/>
        <v>-2.0000000000000052E-4</v>
      </c>
      <c r="AF62">
        <f t="shared" si="9"/>
        <v>-1.3900000000000001E-2</v>
      </c>
      <c r="AG62">
        <f t="shared" si="10"/>
        <v>6.4000000000000723E-3</v>
      </c>
      <c r="AH62">
        <f t="shared" si="11"/>
        <v>29.056600000000003</v>
      </c>
      <c r="AI62">
        <f t="shared" si="11"/>
        <v>3</v>
      </c>
    </row>
    <row r="63" spans="1:35" x14ac:dyDescent="0.25">
      <c r="A63">
        <v>96125</v>
      </c>
      <c r="B63" t="s">
        <v>58</v>
      </c>
      <c r="C63">
        <v>432.87689999999998</v>
      </c>
      <c r="D63">
        <v>-10.2342</v>
      </c>
      <c r="E63">
        <v>130.31549999999999</v>
      </c>
      <c r="F63">
        <v>12.451599999999999</v>
      </c>
      <c r="G63" s="1">
        <v>2.11E-16</v>
      </c>
      <c r="H63" s="1">
        <v>4.3699999999999997E-6</v>
      </c>
      <c r="I63">
        <v>8.6999999999999994E-3</v>
      </c>
      <c r="J63" s="1">
        <v>7.3200000000000002E-6</v>
      </c>
      <c r="K63">
        <v>0.25850000000000001</v>
      </c>
      <c r="L63">
        <v>994.25789999999995</v>
      </c>
      <c r="M63">
        <v>78</v>
      </c>
      <c r="N63">
        <v>438.09800000000001</v>
      </c>
      <c r="O63">
        <v>-10.4285</v>
      </c>
      <c r="P63">
        <v>100.6074</v>
      </c>
      <c r="Q63">
        <v>12.645799999999999</v>
      </c>
      <c r="R63" s="1">
        <v>1.8399999999999999E-15</v>
      </c>
      <c r="S63" s="1">
        <v>1.3200000000000001E-5</v>
      </c>
      <c r="T63">
        <v>2.87E-2</v>
      </c>
      <c r="U63" s="1">
        <v>1.4E-5</v>
      </c>
      <c r="V63">
        <v>0.2296</v>
      </c>
      <c r="W63">
        <v>957.06129999999996</v>
      </c>
      <c r="X63">
        <v>75</v>
      </c>
      <c r="Y63">
        <f t="shared" si="2"/>
        <v>-5.2211000000000354</v>
      </c>
      <c r="Z63">
        <f t="shared" si="3"/>
        <v>0.19430000000000014</v>
      </c>
      <c r="AA63">
        <f t="shared" si="4"/>
        <v>29.708099999999988</v>
      </c>
      <c r="AB63">
        <f t="shared" si="5"/>
        <v>-0.19420000000000037</v>
      </c>
      <c r="AC63">
        <f t="shared" si="6"/>
        <v>-1.6289999999999998E-15</v>
      </c>
      <c r="AD63">
        <f t="shared" si="7"/>
        <v>-8.8300000000000019E-6</v>
      </c>
      <c r="AE63">
        <f t="shared" si="8"/>
        <v>-0.02</v>
      </c>
      <c r="AF63">
        <f t="shared" si="9"/>
        <v>-6.6799999999999996E-6</v>
      </c>
      <c r="AG63">
        <f t="shared" si="10"/>
        <v>2.8900000000000009E-2</v>
      </c>
      <c r="AH63">
        <f t="shared" si="11"/>
        <v>37.196599999999989</v>
      </c>
      <c r="AI63">
        <f t="shared" si="11"/>
        <v>3</v>
      </c>
    </row>
    <row r="64" spans="1:35" x14ac:dyDescent="0.25">
      <c r="A64">
        <v>96138</v>
      </c>
      <c r="B64" t="s">
        <v>59</v>
      </c>
      <c r="C64">
        <v>6446.0232999999998</v>
      </c>
      <c r="D64">
        <v>49.4726</v>
      </c>
      <c r="E64">
        <v>-1081.6633999999999</v>
      </c>
      <c r="F64">
        <v>54.2044</v>
      </c>
      <c r="G64" s="1">
        <v>1.42E-60</v>
      </c>
      <c r="H64">
        <v>8.2600000000000007E-2</v>
      </c>
      <c r="I64">
        <v>9.1999999999999998E-3</v>
      </c>
      <c r="J64">
        <v>7.0900000000000005E-2</v>
      </c>
      <c r="K64">
        <v>0.71409999999999996</v>
      </c>
      <c r="L64">
        <v>1091.6171999999999</v>
      </c>
      <c r="M64">
        <v>66</v>
      </c>
      <c r="N64">
        <v>6324.3593000000001</v>
      </c>
      <c r="O64">
        <v>63.197400000000002</v>
      </c>
      <c r="P64">
        <v>-1086.0773999999999</v>
      </c>
      <c r="Q64">
        <v>40.479599999999998</v>
      </c>
      <c r="R64" s="1">
        <v>3.22E-58</v>
      </c>
      <c r="S64">
        <v>6.7400000000000002E-2</v>
      </c>
      <c r="T64">
        <v>1.72E-2</v>
      </c>
      <c r="U64">
        <v>0.25800000000000001</v>
      </c>
      <c r="V64">
        <v>0.72299999999999998</v>
      </c>
      <c r="W64">
        <v>1042.3729000000001</v>
      </c>
      <c r="X64">
        <v>63</v>
      </c>
      <c r="Y64">
        <f t="shared" si="2"/>
        <v>121.66399999999976</v>
      </c>
      <c r="Z64">
        <f t="shared" si="3"/>
        <v>-13.724800000000002</v>
      </c>
      <c r="AA64">
        <f t="shared" si="4"/>
        <v>4.4139999999999873</v>
      </c>
      <c r="AB64">
        <f t="shared" si="5"/>
        <v>13.724800000000002</v>
      </c>
      <c r="AC64">
        <f t="shared" si="6"/>
        <v>-3.2058000000000003E-58</v>
      </c>
      <c r="AD64">
        <f t="shared" si="7"/>
        <v>1.5200000000000005E-2</v>
      </c>
      <c r="AE64">
        <f t="shared" si="8"/>
        <v>-8.0000000000000002E-3</v>
      </c>
      <c r="AF64">
        <f t="shared" si="9"/>
        <v>-0.18709999999999999</v>
      </c>
      <c r="AG64">
        <f t="shared" si="10"/>
        <v>-8.900000000000019E-3</v>
      </c>
      <c r="AH64">
        <f t="shared" si="11"/>
        <v>49.244299999999839</v>
      </c>
      <c r="AI64">
        <f t="shared" si="11"/>
        <v>3</v>
      </c>
    </row>
    <row r="65" spans="1:35" x14ac:dyDescent="0.25">
      <c r="A65">
        <v>88305</v>
      </c>
      <c r="B65" t="s">
        <v>60</v>
      </c>
      <c r="C65">
        <v>364877.74469999998</v>
      </c>
      <c r="D65">
        <v>-304.11559999999997</v>
      </c>
      <c r="E65">
        <v>92760.209700000007</v>
      </c>
      <c r="F65">
        <v>144.3092</v>
      </c>
      <c r="G65" s="1">
        <v>2.6399999999999998E-208</v>
      </c>
      <c r="H65">
        <v>0.79369999999999996</v>
      </c>
      <c r="I65">
        <v>9.2999999999999992E-3</v>
      </c>
      <c r="J65">
        <v>0.91190000000000004</v>
      </c>
      <c r="K65">
        <v>0.37490000000000001</v>
      </c>
      <c r="L65">
        <v>1939.1899000000001</v>
      </c>
      <c r="M65">
        <v>78</v>
      </c>
      <c r="N65">
        <v>353972.85029999999</v>
      </c>
      <c r="O65">
        <v>1298.6741</v>
      </c>
      <c r="P65">
        <v>51463.486900000004</v>
      </c>
      <c r="Q65">
        <v>-1458.4804999999999</v>
      </c>
      <c r="R65">
        <v>0</v>
      </c>
      <c r="S65">
        <v>3.3E-3</v>
      </c>
      <c r="T65">
        <v>3.0999999999999999E-3</v>
      </c>
      <c r="U65">
        <v>5.6500000000000002E-2</v>
      </c>
      <c r="V65">
        <v>0.4466</v>
      </c>
      <c r="W65">
        <v>1816.3208</v>
      </c>
      <c r="X65">
        <v>75</v>
      </c>
      <c r="Y65">
        <f t="shared" si="2"/>
        <v>10904.89439999999</v>
      </c>
      <c r="Z65">
        <f t="shared" si="3"/>
        <v>-1602.7896999999998</v>
      </c>
      <c r="AA65">
        <f t="shared" si="4"/>
        <v>41296.722800000003</v>
      </c>
      <c r="AB65">
        <f t="shared" si="5"/>
        <v>1602.7896999999998</v>
      </c>
      <c r="AC65">
        <f t="shared" si="6"/>
        <v>2.6399999999999998E-208</v>
      </c>
      <c r="AD65">
        <f t="shared" si="7"/>
        <v>0.79039999999999999</v>
      </c>
      <c r="AE65">
        <f t="shared" si="8"/>
        <v>6.1999999999999989E-3</v>
      </c>
      <c r="AF65">
        <f t="shared" si="9"/>
        <v>0.85540000000000005</v>
      </c>
      <c r="AG65">
        <f t="shared" si="10"/>
        <v>-7.1699999999999986E-2</v>
      </c>
      <c r="AH65">
        <f t="shared" si="11"/>
        <v>122.86910000000012</v>
      </c>
      <c r="AI65">
        <f t="shared" si="11"/>
        <v>3</v>
      </c>
    </row>
    <row r="66" spans="1:35" x14ac:dyDescent="0.25">
      <c r="A66">
        <v>11107</v>
      </c>
      <c r="B66" t="s">
        <v>61</v>
      </c>
      <c r="C66">
        <v>51.046700000000001</v>
      </c>
      <c r="D66">
        <v>-0.91349999999999998</v>
      </c>
      <c r="E66">
        <v>77.239800000000002</v>
      </c>
      <c r="F66">
        <v>-0.1714</v>
      </c>
      <c r="G66" s="1">
        <v>7.7900000000000003E-8</v>
      </c>
      <c r="H66">
        <v>0.1636</v>
      </c>
      <c r="I66">
        <v>1.0500000000000001E-2</v>
      </c>
      <c r="J66">
        <v>0.89280000000000004</v>
      </c>
      <c r="K66">
        <v>0.15820000000000001</v>
      </c>
      <c r="L66">
        <v>732.10919999999999</v>
      </c>
      <c r="M66">
        <v>59</v>
      </c>
      <c r="N66">
        <v>49.939399999999999</v>
      </c>
      <c r="O66">
        <v>-0.54159999999999997</v>
      </c>
      <c r="P66">
        <v>68.168199999999999</v>
      </c>
      <c r="Q66">
        <v>-0.54330000000000001</v>
      </c>
      <c r="R66" s="1">
        <v>4.5499999999999997E-8</v>
      </c>
      <c r="S66">
        <v>0.45679999999999998</v>
      </c>
      <c r="T66">
        <v>2.3E-2</v>
      </c>
      <c r="U66">
        <v>0.68230000000000002</v>
      </c>
      <c r="V66">
        <v>0.13059999999999999</v>
      </c>
      <c r="W66">
        <v>701.6336</v>
      </c>
      <c r="X66">
        <v>57</v>
      </c>
      <c r="Y66">
        <f t="shared" si="2"/>
        <v>1.1073000000000022</v>
      </c>
      <c r="Z66">
        <f t="shared" si="3"/>
        <v>-0.37190000000000001</v>
      </c>
      <c r="AA66">
        <f t="shared" si="4"/>
        <v>9.0716000000000037</v>
      </c>
      <c r="AB66">
        <f t="shared" si="5"/>
        <v>0.37190000000000001</v>
      </c>
      <c r="AC66">
        <f t="shared" si="6"/>
        <v>3.2400000000000006E-8</v>
      </c>
      <c r="AD66">
        <f t="shared" si="7"/>
        <v>-0.29320000000000002</v>
      </c>
      <c r="AE66">
        <f t="shared" si="8"/>
        <v>-1.2499999999999999E-2</v>
      </c>
      <c r="AF66">
        <f t="shared" si="9"/>
        <v>0.21050000000000002</v>
      </c>
      <c r="AG66">
        <f t="shared" si="10"/>
        <v>2.7600000000000013E-2</v>
      </c>
      <c r="AH66">
        <f t="shared" si="11"/>
        <v>30.475599999999986</v>
      </c>
      <c r="AI66">
        <f t="shared" si="11"/>
        <v>2</v>
      </c>
    </row>
    <row r="67" spans="1:35" x14ac:dyDescent="0.25">
      <c r="A67">
        <v>96112</v>
      </c>
      <c r="B67" t="s">
        <v>62</v>
      </c>
      <c r="C67">
        <v>6506.84</v>
      </c>
      <c r="D67">
        <v>114.17700000000001</v>
      </c>
      <c r="E67">
        <v>2470.8344999999999</v>
      </c>
      <c r="F67">
        <v>-52.471800000000002</v>
      </c>
      <c r="G67" s="1">
        <v>7.4499999999999998E-60</v>
      </c>
      <c r="H67">
        <v>3.7000000000000002E-3</v>
      </c>
      <c r="I67">
        <v>1.09E-2</v>
      </c>
      <c r="J67">
        <v>0.24249999999999999</v>
      </c>
      <c r="K67">
        <v>0.6885</v>
      </c>
      <c r="L67">
        <v>1188.3628000000001</v>
      </c>
      <c r="M67">
        <v>66</v>
      </c>
      <c r="N67">
        <v>6298.3810000000003</v>
      </c>
      <c r="O67">
        <v>198.92859999999999</v>
      </c>
      <c r="P67">
        <v>1326.7920999999999</v>
      </c>
      <c r="Q67">
        <v>-137.2234</v>
      </c>
      <c r="R67" s="1">
        <v>1.6600000000000001E-86</v>
      </c>
      <c r="S67" s="1">
        <v>9.0199999999999999E-12</v>
      </c>
      <c r="T67">
        <v>4.0500000000000001E-2</v>
      </c>
      <c r="U67">
        <v>2.0000000000000001E-4</v>
      </c>
      <c r="V67">
        <v>0.71640000000000004</v>
      </c>
      <c r="W67">
        <v>1116.4117000000001</v>
      </c>
      <c r="X67">
        <v>63</v>
      </c>
      <c r="Y67">
        <f t="shared" si="2"/>
        <v>208.45899999999983</v>
      </c>
      <c r="Z67">
        <f t="shared" si="3"/>
        <v>-84.751599999999982</v>
      </c>
      <c r="AA67">
        <f t="shared" si="4"/>
        <v>1144.0424</v>
      </c>
      <c r="AB67">
        <f t="shared" si="5"/>
        <v>84.751599999999996</v>
      </c>
      <c r="AC67">
        <f t="shared" si="6"/>
        <v>7.4499999999999998E-60</v>
      </c>
      <c r="AD67">
        <f t="shared" si="7"/>
        <v>3.6999999909800001E-3</v>
      </c>
      <c r="AE67">
        <f t="shared" si="8"/>
        <v>-2.9600000000000001E-2</v>
      </c>
      <c r="AF67">
        <f t="shared" si="9"/>
        <v>0.24229999999999999</v>
      </c>
      <c r="AG67">
        <f t="shared" si="10"/>
        <v>-2.7900000000000036E-2</v>
      </c>
      <c r="AH67">
        <f t="shared" si="11"/>
        <v>71.951099999999997</v>
      </c>
      <c r="AI67">
        <f t="shared" si="11"/>
        <v>3</v>
      </c>
    </row>
    <row r="68" spans="1:35" x14ac:dyDescent="0.25">
      <c r="A68">
        <v>96116</v>
      </c>
      <c r="B68" t="s">
        <v>63</v>
      </c>
      <c r="C68">
        <v>1722.6366</v>
      </c>
      <c r="D68">
        <v>11.843</v>
      </c>
      <c r="E68">
        <v>607.41869999999994</v>
      </c>
      <c r="F68">
        <v>5.5716999999999999</v>
      </c>
      <c r="G68" s="1">
        <v>3.5399999999999999E-38</v>
      </c>
      <c r="H68">
        <v>0.1421</v>
      </c>
      <c r="I68">
        <v>1.2800000000000001E-2</v>
      </c>
      <c r="J68">
        <v>0.55520000000000003</v>
      </c>
      <c r="K68">
        <v>0.63449999999999995</v>
      </c>
      <c r="L68">
        <v>1198.3788</v>
      </c>
      <c r="M68">
        <v>78</v>
      </c>
      <c r="N68">
        <v>1652.0143</v>
      </c>
      <c r="O68">
        <v>20.609000000000002</v>
      </c>
      <c r="P68">
        <v>433.05889999999999</v>
      </c>
      <c r="Q68">
        <v>-3.1941999999999999</v>
      </c>
      <c r="R68" s="1">
        <v>3.63E-31</v>
      </c>
      <c r="S68">
        <v>8.6E-3</v>
      </c>
      <c r="T68">
        <v>4.2099999999999999E-2</v>
      </c>
      <c r="U68">
        <v>0.72950000000000004</v>
      </c>
      <c r="V68">
        <v>0.64059999999999995</v>
      </c>
      <c r="W68">
        <v>1146.4271000000001</v>
      </c>
      <c r="X68">
        <v>75</v>
      </c>
      <c r="Y68">
        <f t="shared" ref="Y68:Y131" si="12">C68-N68</f>
        <v>70.622299999999996</v>
      </c>
      <c r="Z68">
        <f t="shared" ref="Z68:Z131" si="13">D68-O68</f>
        <v>-8.7660000000000018</v>
      </c>
      <c r="AA68">
        <f t="shared" ref="AA68:AA131" si="14">E68-P68</f>
        <v>174.35979999999995</v>
      </c>
      <c r="AB68">
        <f t="shared" ref="AB68:AB131" si="15">F68-Q68</f>
        <v>8.7659000000000002</v>
      </c>
      <c r="AC68">
        <f t="shared" ref="AC68:AC131" si="16">G68-R68</f>
        <v>-3.6299996460000001E-31</v>
      </c>
      <c r="AD68">
        <f t="shared" ref="AD68:AD131" si="17">H68-S68</f>
        <v>0.13350000000000001</v>
      </c>
      <c r="AE68">
        <f t="shared" ref="AE68:AE131" si="18">I68-T68</f>
        <v>-2.93E-2</v>
      </c>
      <c r="AF68">
        <f t="shared" ref="AF68:AF131" si="19">J68-U68</f>
        <v>-0.17430000000000001</v>
      </c>
      <c r="AG68">
        <f t="shared" ref="AG68:AG131" si="20">K68-V68</f>
        <v>-6.0999999999999943E-3</v>
      </c>
      <c r="AH68">
        <f t="shared" ref="AH68:AI131" si="21">L68-W68</f>
        <v>51.951699999999846</v>
      </c>
      <c r="AI68">
        <f t="shared" si="21"/>
        <v>3</v>
      </c>
    </row>
    <row r="69" spans="1:35" x14ac:dyDescent="0.25">
      <c r="A69">
        <v>95943</v>
      </c>
      <c r="B69" t="s">
        <v>64</v>
      </c>
      <c r="C69">
        <v>1109.6141</v>
      </c>
      <c r="D69">
        <v>-23.179500000000001</v>
      </c>
      <c r="E69">
        <v>248.334</v>
      </c>
      <c r="F69">
        <v>5.5894000000000004</v>
      </c>
      <c r="G69" s="1">
        <v>1.2E-121</v>
      </c>
      <c r="H69" s="1">
        <v>2.2299999999999999E-19</v>
      </c>
      <c r="I69">
        <v>1.38E-2</v>
      </c>
      <c r="J69">
        <v>0.14849999999999999</v>
      </c>
      <c r="K69">
        <v>0.83279999999999998</v>
      </c>
      <c r="L69">
        <v>1027.4086</v>
      </c>
      <c r="M69">
        <v>49</v>
      </c>
      <c r="N69">
        <v>1121.7148</v>
      </c>
      <c r="O69">
        <v>-23.741599999999998</v>
      </c>
      <c r="P69">
        <v>184.68219999999999</v>
      </c>
      <c r="Q69">
        <v>6.1515000000000004</v>
      </c>
      <c r="R69" s="1">
        <v>1.44E-141</v>
      </c>
      <c r="S69" s="1">
        <v>1.36E-33</v>
      </c>
      <c r="T69">
        <v>3.7900000000000003E-2</v>
      </c>
      <c r="U69">
        <v>7.8200000000000006E-2</v>
      </c>
      <c r="V69">
        <v>0.85099999999999998</v>
      </c>
      <c r="W69">
        <v>981.93719999999996</v>
      </c>
      <c r="X69">
        <v>46</v>
      </c>
      <c r="Y69">
        <f t="shared" si="12"/>
        <v>-12.100699999999961</v>
      </c>
      <c r="Z69">
        <f t="shared" si="13"/>
        <v>0.56209999999999738</v>
      </c>
      <c r="AA69">
        <f t="shared" si="14"/>
        <v>63.651800000000009</v>
      </c>
      <c r="AB69">
        <f t="shared" si="15"/>
        <v>-0.56210000000000004</v>
      </c>
      <c r="AC69">
        <f t="shared" si="16"/>
        <v>1.2E-121</v>
      </c>
      <c r="AD69">
        <f t="shared" si="17"/>
        <v>2.2299999999999864E-19</v>
      </c>
      <c r="AE69">
        <f t="shared" si="18"/>
        <v>-2.4100000000000003E-2</v>
      </c>
      <c r="AF69">
        <f t="shared" si="19"/>
        <v>7.0299999999999987E-2</v>
      </c>
      <c r="AG69">
        <f t="shared" si="20"/>
        <v>-1.8199999999999994E-2</v>
      </c>
      <c r="AH69">
        <f t="shared" si="21"/>
        <v>45.471400000000017</v>
      </c>
      <c r="AI69">
        <f t="shared" si="21"/>
        <v>3</v>
      </c>
    </row>
    <row r="70" spans="1:35" x14ac:dyDescent="0.25">
      <c r="A70">
        <v>75561</v>
      </c>
      <c r="B70" t="s">
        <v>65</v>
      </c>
      <c r="C70">
        <v>100.56610000000001</v>
      </c>
      <c r="D70">
        <v>2.1311</v>
      </c>
      <c r="E70">
        <v>97.4803</v>
      </c>
      <c r="F70">
        <v>3.2467999999999999</v>
      </c>
      <c r="G70" s="1">
        <v>8.1899999999999992E-9</v>
      </c>
      <c r="H70">
        <v>7.4200000000000002E-2</v>
      </c>
      <c r="I70">
        <v>1.5299999999999999E-2</v>
      </c>
      <c r="J70">
        <v>7.3499999999999996E-2</v>
      </c>
      <c r="K70">
        <v>0.73070000000000002</v>
      </c>
      <c r="L70">
        <v>925.60109999999997</v>
      </c>
      <c r="M70">
        <v>78</v>
      </c>
      <c r="N70">
        <v>94.162199999999999</v>
      </c>
      <c r="O70">
        <v>3.2664</v>
      </c>
      <c r="P70">
        <v>73.950199999999995</v>
      </c>
      <c r="Q70">
        <v>2.1116000000000001</v>
      </c>
      <c r="R70" s="1">
        <v>1.48E-8</v>
      </c>
      <c r="S70">
        <v>1.2999999999999999E-3</v>
      </c>
      <c r="T70">
        <v>3.2599999999999997E-2</v>
      </c>
      <c r="U70">
        <v>0.2157</v>
      </c>
      <c r="V70">
        <v>0.73089999999999999</v>
      </c>
      <c r="W70">
        <v>886.69949999999994</v>
      </c>
      <c r="X70">
        <v>75</v>
      </c>
      <c r="Y70">
        <f t="shared" si="12"/>
        <v>6.4039000000000073</v>
      </c>
      <c r="Z70">
        <f t="shared" si="13"/>
        <v>-1.1353</v>
      </c>
      <c r="AA70">
        <f t="shared" si="14"/>
        <v>23.530100000000004</v>
      </c>
      <c r="AB70">
        <f t="shared" si="15"/>
        <v>1.1351999999999998</v>
      </c>
      <c r="AC70">
        <f t="shared" si="16"/>
        <v>-6.610000000000001E-9</v>
      </c>
      <c r="AD70">
        <f t="shared" si="17"/>
        <v>7.2900000000000006E-2</v>
      </c>
      <c r="AE70">
        <f t="shared" si="18"/>
        <v>-1.7299999999999996E-2</v>
      </c>
      <c r="AF70">
        <f t="shared" si="19"/>
        <v>-0.14219999999999999</v>
      </c>
      <c r="AG70">
        <f t="shared" si="20"/>
        <v>-1.9999999999997797E-4</v>
      </c>
      <c r="AH70">
        <f t="shared" si="21"/>
        <v>38.90160000000003</v>
      </c>
      <c r="AI70">
        <f t="shared" si="21"/>
        <v>3</v>
      </c>
    </row>
    <row r="71" spans="1:35" x14ac:dyDescent="0.25">
      <c r="A71">
        <v>95913</v>
      </c>
      <c r="B71" t="s">
        <v>31</v>
      </c>
      <c r="C71">
        <v>1832.0195000000001</v>
      </c>
      <c r="D71">
        <v>4.0925000000000002</v>
      </c>
      <c r="E71">
        <v>538.25049999999999</v>
      </c>
      <c r="F71">
        <v>4.7508999999999997</v>
      </c>
      <c r="G71" s="1">
        <v>5.7600000000000003E-71</v>
      </c>
      <c r="H71">
        <v>0.59199999999999997</v>
      </c>
      <c r="I71">
        <v>1.6299999999999999E-2</v>
      </c>
      <c r="J71">
        <v>0.60399999999999998</v>
      </c>
      <c r="K71">
        <v>0.53439999999999999</v>
      </c>
      <c r="L71">
        <v>1165.6084000000001</v>
      </c>
      <c r="M71">
        <v>78</v>
      </c>
      <c r="N71">
        <v>1802.0749000000001</v>
      </c>
      <c r="O71">
        <v>10.290800000000001</v>
      </c>
      <c r="P71">
        <v>382.12900000000002</v>
      </c>
      <c r="Q71">
        <v>-1.4473</v>
      </c>
      <c r="R71" s="1">
        <v>1.3E-72</v>
      </c>
      <c r="S71">
        <v>9.01E-2</v>
      </c>
      <c r="T71">
        <v>2.6599999999999999E-2</v>
      </c>
      <c r="U71">
        <v>0.85470000000000002</v>
      </c>
      <c r="V71">
        <v>0.53700000000000003</v>
      </c>
      <c r="W71">
        <v>1110.0614</v>
      </c>
      <c r="X71">
        <v>75</v>
      </c>
      <c r="Y71">
        <f t="shared" si="12"/>
        <v>29.944600000000037</v>
      </c>
      <c r="Z71">
        <f t="shared" si="13"/>
        <v>-6.1983000000000006</v>
      </c>
      <c r="AA71">
        <f t="shared" si="14"/>
        <v>156.12149999999997</v>
      </c>
      <c r="AB71">
        <f t="shared" si="15"/>
        <v>6.1981999999999999</v>
      </c>
      <c r="AC71">
        <f t="shared" si="16"/>
        <v>5.63E-71</v>
      </c>
      <c r="AD71">
        <f t="shared" si="17"/>
        <v>0.50190000000000001</v>
      </c>
      <c r="AE71">
        <f t="shared" si="18"/>
        <v>-1.03E-2</v>
      </c>
      <c r="AF71">
        <f t="shared" si="19"/>
        <v>-0.25070000000000003</v>
      </c>
      <c r="AG71">
        <f t="shared" si="20"/>
        <v>-2.6000000000000467E-3</v>
      </c>
      <c r="AH71">
        <f t="shared" si="21"/>
        <v>55.547000000000025</v>
      </c>
      <c r="AI71">
        <f t="shared" si="21"/>
        <v>3</v>
      </c>
    </row>
    <row r="72" spans="1:35" x14ac:dyDescent="0.25">
      <c r="A72">
        <v>93241</v>
      </c>
      <c r="B72" t="s">
        <v>13</v>
      </c>
      <c r="C72">
        <v>0</v>
      </c>
      <c r="D72">
        <v>19.902000000000001</v>
      </c>
      <c r="E72">
        <v>-29.815100000000001</v>
      </c>
      <c r="F72">
        <v>-9.9131</v>
      </c>
      <c r="G72">
        <v>0</v>
      </c>
      <c r="H72">
        <v>2.7000000000000001E-3</v>
      </c>
      <c r="I72">
        <v>1.6400000000000001E-2</v>
      </c>
      <c r="J72">
        <v>8.6999999999999994E-2</v>
      </c>
      <c r="K72">
        <v>0.84630000000000005</v>
      </c>
      <c r="L72">
        <v>445.15339999999998</v>
      </c>
      <c r="M72">
        <v>40</v>
      </c>
      <c r="N72">
        <v>0</v>
      </c>
      <c r="O72">
        <v>19.902000000000001</v>
      </c>
      <c r="P72">
        <v>-29.815100000000001</v>
      </c>
      <c r="Q72">
        <v>-9.9131</v>
      </c>
      <c r="R72">
        <v>0</v>
      </c>
      <c r="S72">
        <v>2.7000000000000001E-3</v>
      </c>
      <c r="T72">
        <v>1.6400000000000001E-2</v>
      </c>
      <c r="U72">
        <v>8.6999999999999994E-2</v>
      </c>
      <c r="V72">
        <v>0.84630000000000005</v>
      </c>
      <c r="W72">
        <v>445.15339999999998</v>
      </c>
      <c r="X72">
        <v>40</v>
      </c>
      <c r="Y72">
        <f t="shared" si="12"/>
        <v>0</v>
      </c>
      <c r="Z72">
        <f t="shared" si="13"/>
        <v>0</v>
      </c>
      <c r="AA72">
        <f t="shared" si="14"/>
        <v>0</v>
      </c>
      <c r="AB72">
        <f t="shared" si="15"/>
        <v>0</v>
      </c>
      <c r="AC72">
        <f t="shared" si="16"/>
        <v>0</v>
      </c>
      <c r="AD72">
        <f t="shared" si="17"/>
        <v>0</v>
      </c>
      <c r="AE72">
        <f t="shared" si="18"/>
        <v>0</v>
      </c>
      <c r="AF72">
        <f t="shared" si="19"/>
        <v>0</v>
      </c>
      <c r="AG72">
        <f t="shared" si="20"/>
        <v>0</v>
      </c>
      <c r="AH72">
        <f t="shared" si="21"/>
        <v>0</v>
      </c>
      <c r="AI72">
        <f t="shared" si="21"/>
        <v>0</v>
      </c>
    </row>
    <row r="73" spans="1:35" x14ac:dyDescent="0.25">
      <c r="A73">
        <v>95909</v>
      </c>
      <c r="B73" t="s">
        <v>31</v>
      </c>
      <c r="C73">
        <v>944.96699999999998</v>
      </c>
      <c r="D73">
        <v>-1.0774999999999999</v>
      </c>
      <c r="E73">
        <v>369.23140000000001</v>
      </c>
      <c r="F73">
        <v>4.0936000000000003</v>
      </c>
      <c r="G73" s="1">
        <v>1.93E-50</v>
      </c>
      <c r="H73">
        <v>0.8276</v>
      </c>
      <c r="I73">
        <v>1.6400000000000001E-2</v>
      </c>
      <c r="J73">
        <v>0.48199999999999998</v>
      </c>
      <c r="K73">
        <v>0.36370000000000002</v>
      </c>
      <c r="L73">
        <v>1115.7184999999999</v>
      </c>
      <c r="M73">
        <v>78</v>
      </c>
      <c r="N73">
        <v>911.22990000000004</v>
      </c>
      <c r="O73">
        <v>4.4230999999999998</v>
      </c>
      <c r="P73">
        <v>223.7166</v>
      </c>
      <c r="Q73">
        <v>-1.407</v>
      </c>
      <c r="R73" s="1">
        <v>3.4799999999999999E-47</v>
      </c>
      <c r="S73">
        <v>0.2099</v>
      </c>
      <c r="T73">
        <v>4.1000000000000002E-2</v>
      </c>
      <c r="U73">
        <v>0.76319999999999999</v>
      </c>
      <c r="V73">
        <v>0.35199999999999998</v>
      </c>
      <c r="W73">
        <v>1056.9818</v>
      </c>
      <c r="X73">
        <v>75</v>
      </c>
      <c r="Y73">
        <f t="shared" si="12"/>
        <v>33.737099999999941</v>
      </c>
      <c r="Z73">
        <f t="shared" si="13"/>
        <v>-5.5005999999999995</v>
      </c>
      <c r="AA73">
        <f t="shared" si="14"/>
        <v>145.51480000000001</v>
      </c>
      <c r="AB73">
        <f t="shared" si="15"/>
        <v>5.5006000000000004</v>
      </c>
      <c r="AC73">
        <f t="shared" si="16"/>
        <v>-3.4780700000000001E-47</v>
      </c>
      <c r="AD73">
        <f t="shared" si="17"/>
        <v>0.61770000000000003</v>
      </c>
      <c r="AE73">
        <f t="shared" si="18"/>
        <v>-2.46E-2</v>
      </c>
      <c r="AF73">
        <f t="shared" si="19"/>
        <v>-0.28120000000000001</v>
      </c>
      <c r="AG73">
        <f t="shared" si="20"/>
        <v>1.1700000000000044E-2</v>
      </c>
      <c r="AH73">
        <f t="shared" si="21"/>
        <v>58.736699999999928</v>
      </c>
      <c r="AI73">
        <f t="shared" si="21"/>
        <v>3</v>
      </c>
    </row>
    <row r="74" spans="1:35" x14ac:dyDescent="0.25">
      <c r="A74">
        <v>83721</v>
      </c>
      <c r="B74" t="s">
        <v>66</v>
      </c>
      <c r="C74">
        <v>29024.105100000001</v>
      </c>
      <c r="D74">
        <v>-104.65049999999999</v>
      </c>
      <c r="E74">
        <v>6776.0405000000001</v>
      </c>
      <c r="F74">
        <v>170.5796</v>
      </c>
      <c r="G74" s="1">
        <v>8.5400000000000005E-197</v>
      </c>
      <c r="H74">
        <v>0.24360000000000001</v>
      </c>
      <c r="I74">
        <v>1.7100000000000001E-2</v>
      </c>
      <c r="J74">
        <v>0.12659999999999999</v>
      </c>
      <c r="K74">
        <v>0.3629</v>
      </c>
      <c r="L74">
        <v>1546.9577999999999</v>
      </c>
      <c r="M74">
        <v>78</v>
      </c>
      <c r="N74">
        <v>28380.659500000002</v>
      </c>
      <c r="O74">
        <v>-0.19650000000000001</v>
      </c>
      <c r="P74">
        <v>3763.009</v>
      </c>
      <c r="Q74">
        <v>66.125699999999995</v>
      </c>
      <c r="R74" s="1">
        <v>1.0599999999999999E-286</v>
      </c>
      <c r="S74">
        <v>0.99629999999999996</v>
      </c>
      <c r="T74">
        <v>2.6100000000000002E-2</v>
      </c>
      <c r="U74">
        <v>0.4073</v>
      </c>
      <c r="V74">
        <v>0.36309999999999998</v>
      </c>
      <c r="W74">
        <v>1453.9522999999999</v>
      </c>
      <c r="X74">
        <v>75</v>
      </c>
      <c r="Y74">
        <f t="shared" si="12"/>
        <v>643.4455999999991</v>
      </c>
      <c r="Z74">
        <f t="shared" si="13"/>
        <v>-104.45399999999999</v>
      </c>
      <c r="AA74">
        <f t="shared" si="14"/>
        <v>3013.0315000000001</v>
      </c>
      <c r="AB74">
        <f t="shared" si="15"/>
        <v>104.4539</v>
      </c>
      <c r="AC74">
        <f t="shared" si="16"/>
        <v>8.5400000000000005E-197</v>
      </c>
      <c r="AD74">
        <f t="shared" si="17"/>
        <v>-0.75269999999999992</v>
      </c>
      <c r="AE74">
        <f t="shared" si="18"/>
        <v>-9.0000000000000011E-3</v>
      </c>
      <c r="AF74">
        <f t="shared" si="19"/>
        <v>-0.28070000000000001</v>
      </c>
      <c r="AG74">
        <f t="shared" si="20"/>
        <v>-1.9999999999997797E-4</v>
      </c>
      <c r="AH74">
        <f t="shared" si="21"/>
        <v>93.005499999999984</v>
      </c>
      <c r="AI74">
        <f t="shared" si="21"/>
        <v>3</v>
      </c>
    </row>
    <row r="75" spans="1:35" x14ac:dyDescent="0.25">
      <c r="A75">
        <v>82785</v>
      </c>
      <c r="B75" t="s">
        <v>67</v>
      </c>
      <c r="C75">
        <v>24659.250800000002</v>
      </c>
      <c r="D75">
        <v>-51.379399999999997</v>
      </c>
      <c r="E75">
        <v>5676.0249999999996</v>
      </c>
      <c r="F75">
        <v>313.52569999999997</v>
      </c>
      <c r="G75" s="1">
        <v>6.9499999999999996E-76</v>
      </c>
      <c r="H75">
        <v>0.50190000000000001</v>
      </c>
      <c r="I75">
        <v>1.7399999999999999E-2</v>
      </c>
      <c r="J75">
        <v>2.3999999999999998E-3</v>
      </c>
      <c r="K75">
        <v>0.59379999999999999</v>
      </c>
      <c r="L75">
        <v>1558.3566000000001</v>
      </c>
      <c r="M75">
        <v>78</v>
      </c>
      <c r="N75">
        <v>23842.025000000001</v>
      </c>
      <c r="O75">
        <v>51.960599999999999</v>
      </c>
      <c r="P75">
        <v>3032.2336</v>
      </c>
      <c r="Q75">
        <v>210.1858</v>
      </c>
      <c r="R75" s="1">
        <v>1.4399999999999999E-80</v>
      </c>
      <c r="S75">
        <v>0.41160000000000002</v>
      </c>
      <c r="T75">
        <v>9.69E-2</v>
      </c>
      <c r="U75">
        <v>2.76E-2</v>
      </c>
      <c r="V75">
        <v>0.61299999999999999</v>
      </c>
      <c r="W75">
        <v>1481.6867999999999</v>
      </c>
      <c r="X75">
        <v>75</v>
      </c>
      <c r="Y75">
        <f t="shared" si="12"/>
        <v>817.22580000000016</v>
      </c>
      <c r="Z75">
        <f t="shared" si="13"/>
        <v>-103.34</v>
      </c>
      <c r="AA75">
        <f t="shared" si="14"/>
        <v>2643.7913999999996</v>
      </c>
      <c r="AB75">
        <f t="shared" si="15"/>
        <v>103.33989999999997</v>
      </c>
      <c r="AC75">
        <f t="shared" si="16"/>
        <v>6.9498559999999994E-76</v>
      </c>
      <c r="AD75">
        <f t="shared" si="17"/>
        <v>9.0299999999999991E-2</v>
      </c>
      <c r="AE75">
        <f t="shared" si="18"/>
        <v>-7.9500000000000001E-2</v>
      </c>
      <c r="AF75">
        <f t="shared" si="19"/>
        <v>-2.52E-2</v>
      </c>
      <c r="AG75">
        <f t="shared" si="20"/>
        <v>-1.9199999999999995E-2</v>
      </c>
      <c r="AH75">
        <f t="shared" si="21"/>
        <v>76.669800000000123</v>
      </c>
      <c r="AI75">
        <f t="shared" si="21"/>
        <v>3</v>
      </c>
    </row>
    <row r="76" spans="1:35" x14ac:dyDescent="0.25">
      <c r="A76">
        <v>86359</v>
      </c>
      <c r="B76" t="s">
        <v>68</v>
      </c>
      <c r="C76">
        <v>8931.9534999999996</v>
      </c>
      <c r="D76">
        <v>43.885199999999998</v>
      </c>
      <c r="E76">
        <v>1866.0413000000001</v>
      </c>
      <c r="F76">
        <v>-71.368099999999998</v>
      </c>
      <c r="G76" s="1">
        <v>2.7600000000000001E-189</v>
      </c>
      <c r="H76">
        <v>9.2600000000000002E-2</v>
      </c>
      <c r="I76">
        <v>1.7500000000000002E-2</v>
      </c>
      <c r="J76">
        <v>1.4E-2</v>
      </c>
      <c r="K76">
        <v>0.3982</v>
      </c>
      <c r="L76">
        <v>1362.3806</v>
      </c>
      <c r="M76">
        <v>78</v>
      </c>
      <c r="N76">
        <v>8609.7023000000008</v>
      </c>
      <c r="O76">
        <v>86.942800000000005</v>
      </c>
      <c r="P76">
        <v>942.10329999999999</v>
      </c>
      <c r="Q76">
        <v>-114.42570000000001</v>
      </c>
      <c r="R76" s="1">
        <v>2.2599999999999999E-190</v>
      </c>
      <c r="S76" s="1">
        <v>1.4500000000000001E-6</v>
      </c>
      <c r="T76">
        <v>4.82E-2</v>
      </c>
      <c r="U76" s="1">
        <v>3.3299999999999998E-7</v>
      </c>
      <c r="V76">
        <v>0.50919999999999999</v>
      </c>
      <c r="W76">
        <v>1271.444</v>
      </c>
      <c r="X76">
        <v>75</v>
      </c>
      <c r="Y76">
        <f t="shared" si="12"/>
        <v>322.25119999999879</v>
      </c>
      <c r="Z76">
        <f t="shared" si="13"/>
        <v>-43.057600000000008</v>
      </c>
      <c r="AA76">
        <f t="shared" si="14"/>
        <v>923.9380000000001</v>
      </c>
      <c r="AB76">
        <f t="shared" si="15"/>
        <v>43.057600000000008</v>
      </c>
      <c r="AC76">
        <f t="shared" si="16"/>
        <v>2.5340000000000003E-189</v>
      </c>
      <c r="AD76">
        <f t="shared" si="17"/>
        <v>9.2598550000000002E-2</v>
      </c>
      <c r="AE76">
        <f t="shared" si="18"/>
        <v>-3.0699999999999998E-2</v>
      </c>
      <c r="AF76">
        <f t="shared" si="19"/>
        <v>1.3999667E-2</v>
      </c>
      <c r="AG76">
        <f t="shared" si="20"/>
        <v>-0.11099999999999999</v>
      </c>
      <c r="AH76">
        <f t="shared" si="21"/>
        <v>90.936599999999999</v>
      </c>
      <c r="AI76">
        <f t="shared" si="21"/>
        <v>3</v>
      </c>
    </row>
    <row r="77" spans="1:35" x14ac:dyDescent="0.25">
      <c r="A77">
        <v>86665</v>
      </c>
      <c r="B77" t="s">
        <v>69</v>
      </c>
      <c r="C77">
        <v>10045.8033</v>
      </c>
      <c r="D77">
        <v>-66.033199999999994</v>
      </c>
      <c r="E77">
        <v>2346.5934999999999</v>
      </c>
      <c r="F77">
        <v>156.23269999999999</v>
      </c>
      <c r="G77" s="1">
        <v>2.2E-88</v>
      </c>
      <c r="H77">
        <v>3.8199999999999998E-2</v>
      </c>
      <c r="I77">
        <v>1.9400000000000001E-2</v>
      </c>
      <c r="J77">
        <v>2.9999999999999997E-4</v>
      </c>
      <c r="K77">
        <v>0.4425</v>
      </c>
      <c r="L77">
        <v>1427.4440999999999</v>
      </c>
      <c r="M77">
        <v>78</v>
      </c>
      <c r="N77">
        <v>9735.4598999999998</v>
      </c>
      <c r="O77">
        <v>-32.363999999999997</v>
      </c>
      <c r="P77">
        <v>1381.4218000000001</v>
      </c>
      <c r="Q77">
        <v>122.5635</v>
      </c>
      <c r="R77" s="1">
        <v>1.1200000000000001E-81</v>
      </c>
      <c r="S77">
        <v>0.35770000000000002</v>
      </c>
      <c r="T77">
        <v>0.14849999999999999</v>
      </c>
      <c r="U77">
        <v>7.7999999999999996E-3</v>
      </c>
      <c r="V77">
        <v>0.41339999999999999</v>
      </c>
      <c r="W77">
        <v>1365.5126</v>
      </c>
      <c r="X77">
        <v>75</v>
      </c>
      <c r="Y77">
        <f t="shared" si="12"/>
        <v>310.34339999999975</v>
      </c>
      <c r="Z77">
        <f t="shared" si="13"/>
        <v>-33.669199999999996</v>
      </c>
      <c r="AA77">
        <f t="shared" si="14"/>
        <v>965.17169999999987</v>
      </c>
      <c r="AB77">
        <f t="shared" si="15"/>
        <v>33.669199999999989</v>
      </c>
      <c r="AC77">
        <f t="shared" si="16"/>
        <v>-1.1199997800000001E-81</v>
      </c>
      <c r="AD77">
        <f t="shared" si="17"/>
        <v>-0.31950000000000001</v>
      </c>
      <c r="AE77">
        <f t="shared" si="18"/>
        <v>-0.12909999999999999</v>
      </c>
      <c r="AF77">
        <f t="shared" si="19"/>
        <v>-7.4999999999999997E-3</v>
      </c>
      <c r="AG77">
        <f t="shared" si="20"/>
        <v>2.9100000000000015E-2</v>
      </c>
      <c r="AH77">
        <f t="shared" si="21"/>
        <v>61.931499999999915</v>
      </c>
      <c r="AI77">
        <f t="shared" si="21"/>
        <v>3</v>
      </c>
    </row>
    <row r="78" spans="1:35" x14ac:dyDescent="0.25">
      <c r="A78">
        <v>96113</v>
      </c>
      <c r="B78" t="s">
        <v>70</v>
      </c>
      <c r="C78">
        <v>1160.56</v>
      </c>
      <c r="D78">
        <v>16.407800000000002</v>
      </c>
      <c r="E78">
        <v>456.98099999999999</v>
      </c>
      <c r="F78">
        <v>14.663399999999999</v>
      </c>
      <c r="G78" s="1">
        <v>8.99E-23</v>
      </c>
      <c r="H78">
        <v>6.9199999999999998E-2</v>
      </c>
      <c r="I78">
        <v>1.9599999999999999E-2</v>
      </c>
      <c r="J78">
        <v>0.19350000000000001</v>
      </c>
      <c r="K78">
        <v>0.71709999999999996</v>
      </c>
      <c r="L78">
        <v>1007.9769</v>
      </c>
      <c r="M78">
        <v>66</v>
      </c>
      <c r="N78">
        <v>1140.8181999999999</v>
      </c>
      <c r="O78">
        <v>27.2896</v>
      </c>
      <c r="P78">
        <v>308.31060000000002</v>
      </c>
      <c r="Q78">
        <v>3.7816000000000001</v>
      </c>
      <c r="R78" s="1">
        <v>3.4899999999999997E-20</v>
      </c>
      <c r="S78">
        <v>7.0000000000000001E-3</v>
      </c>
      <c r="T78">
        <v>7.5700000000000003E-2</v>
      </c>
      <c r="U78">
        <v>0.75770000000000004</v>
      </c>
      <c r="V78">
        <v>0.70679999999999998</v>
      </c>
      <c r="W78">
        <v>960.07420000000002</v>
      </c>
      <c r="X78">
        <v>63</v>
      </c>
      <c r="Y78">
        <f t="shared" si="12"/>
        <v>19.741800000000012</v>
      </c>
      <c r="Z78">
        <f t="shared" si="13"/>
        <v>-10.881799999999998</v>
      </c>
      <c r="AA78">
        <f t="shared" si="14"/>
        <v>148.67039999999997</v>
      </c>
      <c r="AB78">
        <f t="shared" si="15"/>
        <v>10.881799999999998</v>
      </c>
      <c r="AC78">
        <f t="shared" si="16"/>
        <v>-3.4810099999999997E-20</v>
      </c>
      <c r="AD78">
        <f t="shared" si="17"/>
        <v>6.2199999999999998E-2</v>
      </c>
      <c r="AE78">
        <f t="shared" si="18"/>
        <v>-5.6100000000000004E-2</v>
      </c>
      <c r="AF78">
        <f t="shared" si="19"/>
        <v>-0.56420000000000003</v>
      </c>
      <c r="AG78">
        <f t="shared" si="20"/>
        <v>1.0299999999999976E-2</v>
      </c>
      <c r="AH78">
        <f t="shared" si="21"/>
        <v>47.902699999999982</v>
      </c>
      <c r="AI78">
        <f t="shared" si="21"/>
        <v>3</v>
      </c>
    </row>
    <row r="79" spans="1:35" x14ac:dyDescent="0.25">
      <c r="A79">
        <v>95921</v>
      </c>
      <c r="B79" t="s">
        <v>71</v>
      </c>
      <c r="C79">
        <v>2191.0210000000002</v>
      </c>
      <c r="D79">
        <v>-11.0901</v>
      </c>
      <c r="E79">
        <v>681.96950000000004</v>
      </c>
      <c r="F79">
        <v>23.8795</v>
      </c>
      <c r="G79" s="1">
        <v>2.3699999999999999E-36</v>
      </c>
      <c r="H79">
        <v>0.24429999999999999</v>
      </c>
      <c r="I79">
        <v>2.12E-2</v>
      </c>
      <c r="J79">
        <v>2.87E-2</v>
      </c>
      <c r="K79">
        <v>0.36070000000000002</v>
      </c>
      <c r="L79">
        <v>1219.8822</v>
      </c>
      <c r="M79">
        <v>78</v>
      </c>
      <c r="N79">
        <v>2083.0605999999998</v>
      </c>
      <c r="O79">
        <v>2.6135999999999999</v>
      </c>
      <c r="P79">
        <v>318.1404</v>
      </c>
      <c r="Q79">
        <v>10.175800000000001</v>
      </c>
      <c r="R79" s="1">
        <v>2.1999999999999999E-36</v>
      </c>
      <c r="S79">
        <v>0.75019999999999998</v>
      </c>
      <c r="T79">
        <v>0.1729</v>
      </c>
      <c r="U79">
        <v>0.30480000000000002</v>
      </c>
      <c r="V79">
        <v>0.34160000000000001</v>
      </c>
      <c r="W79">
        <v>1152.0083</v>
      </c>
      <c r="X79">
        <v>75</v>
      </c>
      <c r="Y79">
        <f t="shared" si="12"/>
        <v>107.96040000000039</v>
      </c>
      <c r="Z79">
        <f t="shared" si="13"/>
        <v>-13.7037</v>
      </c>
      <c r="AA79">
        <f t="shared" si="14"/>
        <v>363.82910000000004</v>
      </c>
      <c r="AB79">
        <f t="shared" si="15"/>
        <v>13.7037</v>
      </c>
      <c r="AC79">
        <f t="shared" si="16"/>
        <v>1.6999999999999995E-37</v>
      </c>
      <c r="AD79">
        <f t="shared" si="17"/>
        <v>-0.50590000000000002</v>
      </c>
      <c r="AE79">
        <f t="shared" si="18"/>
        <v>-0.1517</v>
      </c>
      <c r="AF79">
        <f t="shared" si="19"/>
        <v>-0.27610000000000001</v>
      </c>
      <c r="AG79">
        <f t="shared" si="20"/>
        <v>1.9100000000000006E-2</v>
      </c>
      <c r="AH79">
        <f t="shared" si="21"/>
        <v>67.873900000000049</v>
      </c>
      <c r="AI79">
        <f t="shared" si="21"/>
        <v>3</v>
      </c>
    </row>
    <row r="80" spans="1:35" x14ac:dyDescent="0.25">
      <c r="A80">
        <v>25605</v>
      </c>
      <c r="B80" t="s">
        <v>72</v>
      </c>
      <c r="C80">
        <v>61.8889</v>
      </c>
      <c r="D80">
        <v>-0.1905</v>
      </c>
      <c r="E80">
        <v>69.867199999999997</v>
      </c>
      <c r="F80">
        <v>-0.22009999999999999</v>
      </c>
      <c r="G80">
        <v>2.0000000000000001E-4</v>
      </c>
      <c r="H80">
        <v>0.79430000000000001</v>
      </c>
      <c r="I80">
        <v>2.1600000000000001E-2</v>
      </c>
      <c r="J80">
        <v>0.86980000000000002</v>
      </c>
      <c r="K80">
        <v>0.19220000000000001</v>
      </c>
      <c r="L80">
        <v>876.24450000000002</v>
      </c>
      <c r="M80">
        <v>74</v>
      </c>
      <c r="N80">
        <v>59.014299999999999</v>
      </c>
      <c r="O80">
        <v>0.19420000000000001</v>
      </c>
      <c r="P80">
        <v>59.8613</v>
      </c>
      <c r="Q80">
        <v>-0.6048</v>
      </c>
      <c r="R80">
        <v>6.9999999999999999E-4</v>
      </c>
      <c r="S80">
        <v>0.82210000000000005</v>
      </c>
      <c r="T80">
        <v>5.3600000000000002E-2</v>
      </c>
      <c r="U80">
        <v>0.67259999999999998</v>
      </c>
      <c r="V80">
        <v>0.17</v>
      </c>
      <c r="W80">
        <v>844.31089999999995</v>
      </c>
      <c r="X80">
        <v>72</v>
      </c>
      <c r="Y80">
        <f t="shared" si="12"/>
        <v>2.8746000000000009</v>
      </c>
      <c r="Z80">
        <f t="shared" si="13"/>
        <v>-0.38470000000000004</v>
      </c>
      <c r="AA80">
        <f t="shared" si="14"/>
        <v>10.005899999999997</v>
      </c>
      <c r="AB80">
        <f t="shared" si="15"/>
        <v>0.38470000000000004</v>
      </c>
      <c r="AC80">
        <f t="shared" si="16"/>
        <v>-5.0000000000000001E-4</v>
      </c>
      <c r="AD80">
        <f t="shared" si="17"/>
        <v>-2.7800000000000047E-2</v>
      </c>
      <c r="AE80">
        <f t="shared" si="18"/>
        <v>-3.2000000000000001E-2</v>
      </c>
      <c r="AF80">
        <f t="shared" si="19"/>
        <v>0.19720000000000004</v>
      </c>
      <c r="AG80">
        <f t="shared" si="20"/>
        <v>2.2199999999999998E-2</v>
      </c>
      <c r="AH80">
        <f t="shared" si="21"/>
        <v>31.933600000000069</v>
      </c>
      <c r="AI80">
        <f t="shared" si="21"/>
        <v>2</v>
      </c>
    </row>
    <row r="81" spans="1:35" x14ac:dyDescent="0.25">
      <c r="A81">
        <v>93660</v>
      </c>
      <c r="B81" t="s">
        <v>73</v>
      </c>
      <c r="C81">
        <v>79.53</v>
      </c>
      <c r="D81">
        <v>-1.3620000000000001</v>
      </c>
      <c r="E81">
        <v>-29.194500000000001</v>
      </c>
      <c r="F81">
        <v>2.4762</v>
      </c>
      <c r="G81" s="1">
        <v>1.0999999999999999E-9</v>
      </c>
      <c r="H81">
        <v>1.7899999999999999E-2</v>
      </c>
      <c r="I81">
        <v>2.23E-2</v>
      </c>
      <c r="J81">
        <v>2.0000000000000001E-4</v>
      </c>
      <c r="K81">
        <v>0.34970000000000001</v>
      </c>
      <c r="L81">
        <v>754.65530000000001</v>
      </c>
      <c r="M81">
        <v>61</v>
      </c>
      <c r="N81">
        <v>76.584699999999998</v>
      </c>
      <c r="O81">
        <v>-1.0952999999999999</v>
      </c>
      <c r="P81">
        <v>-38.872199999999999</v>
      </c>
      <c r="Q81">
        <v>2.2094</v>
      </c>
      <c r="R81" s="1">
        <v>7.8700000000000003E-9</v>
      </c>
      <c r="S81">
        <v>0.1099</v>
      </c>
      <c r="T81">
        <v>6.3E-3</v>
      </c>
      <c r="U81">
        <v>3.5999999999999999E-3</v>
      </c>
      <c r="V81">
        <v>0.35120000000000001</v>
      </c>
      <c r="W81">
        <v>727.24390000000005</v>
      </c>
      <c r="X81">
        <v>59</v>
      </c>
      <c r="Y81">
        <f t="shared" si="12"/>
        <v>2.9453000000000031</v>
      </c>
      <c r="Z81">
        <f t="shared" si="13"/>
        <v>-0.26670000000000016</v>
      </c>
      <c r="AA81">
        <f t="shared" si="14"/>
        <v>9.677699999999998</v>
      </c>
      <c r="AB81">
        <f t="shared" si="15"/>
        <v>0.26679999999999993</v>
      </c>
      <c r="AC81">
        <f t="shared" si="16"/>
        <v>-6.7700000000000004E-9</v>
      </c>
      <c r="AD81">
        <f t="shared" si="17"/>
        <v>-9.1999999999999998E-2</v>
      </c>
      <c r="AE81">
        <f t="shared" si="18"/>
        <v>1.6E-2</v>
      </c>
      <c r="AF81">
        <f t="shared" si="19"/>
        <v>-3.3999999999999998E-3</v>
      </c>
      <c r="AG81">
        <f t="shared" si="20"/>
        <v>-1.5000000000000013E-3</v>
      </c>
      <c r="AH81">
        <f t="shared" si="21"/>
        <v>27.411399999999958</v>
      </c>
      <c r="AI81">
        <f t="shared" si="21"/>
        <v>2</v>
      </c>
    </row>
    <row r="82" spans="1:35" x14ac:dyDescent="0.25">
      <c r="A82">
        <v>93224</v>
      </c>
      <c r="B82" t="s">
        <v>34</v>
      </c>
      <c r="C82">
        <v>3384.2372</v>
      </c>
      <c r="D82">
        <v>-13.4834</v>
      </c>
      <c r="E82">
        <v>738.95230000000004</v>
      </c>
      <c r="F82">
        <v>34.120899999999999</v>
      </c>
      <c r="G82" s="1">
        <v>1.0699999999999999E-89</v>
      </c>
      <c r="H82">
        <v>0.20960000000000001</v>
      </c>
      <c r="I82">
        <v>2.4E-2</v>
      </c>
      <c r="J82">
        <v>7.0000000000000001E-3</v>
      </c>
      <c r="K82">
        <v>0.42699999999999999</v>
      </c>
      <c r="L82">
        <v>1235.8765000000001</v>
      </c>
      <c r="M82">
        <v>78</v>
      </c>
      <c r="N82">
        <v>3303.4081999999999</v>
      </c>
      <c r="O82">
        <v>-1.641</v>
      </c>
      <c r="P82">
        <v>400.37580000000003</v>
      </c>
      <c r="Q82">
        <v>22.278500000000001</v>
      </c>
      <c r="R82" s="1">
        <v>8.3699999999999997E-105</v>
      </c>
      <c r="S82">
        <v>0.83040000000000003</v>
      </c>
      <c r="T82">
        <v>8.6599999999999996E-2</v>
      </c>
      <c r="U82">
        <v>3.1099999999999999E-2</v>
      </c>
      <c r="V82">
        <v>0.4148</v>
      </c>
      <c r="W82">
        <v>1171.3606</v>
      </c>
      <c r="X82">
        <v>75</v>
      </c>
      <c r="Y82">
        <f t="shared" si="12"/>
        <v>80.829000000000178</v>
      </c>
      <c r="Z82">
        <f t="shared" si="13"/>
        <v>-11.8424</v>
      </c>
      <c r="AA82">
        <f t="shared" si="14"/>
        <v>338.57650000000001</v>
      </c>
      <c r="AB82">
        <f t="shared" si="15"/>
        <v>11.842399999999998</v>
      </c>
      <c r="AC82">
        <f t="shared" si="16"/>
        <v>1.0699999999999991E-89</v>
      </c>
      <c r="AD82">
        <f t="shared" si="17"/>
        <v>-0.62080000000000002</v>
      </c>
      <c r="AE82">
        <f t="shared" si="18"/>
        <v>-6.2599999999999989E-2</v>
      </c>
      <c r="AF82">
        <f t="shared" si="19"/>
        <v>-2.41E-2</v>
      </c>
      <c r="AG82">
        <f t="shared" si="20"/>
        <v>1.2199999999999989E-2</v>
      </c>
      <c r="AH82">
        <f t="shared" si="21"/>
        <v>64.515900000000101</v>
      </c>
      <c r="AI82">
        <f t="shared" si="21"/>
        <v>3</v>
      </c>
    </row>
    <row r="83" spans="1:35" x14ac:dyDescent="0.25">
      <c r="A83">
        <v>95911</v>
      </c>
      <c r="B83" t="s">
        <v>31</v>
      </c>
      <c r="C83">
        <v>3376.2206999999999</v>
      </c>
      <c r="D83">
        <v>14.4255</v>
      </c>
      <c r="E83">
        <v>986.97450000000003</v>
      </c>
      <c r="F83">
        <v>-4.0175999999999998</v>
      </c>
      <c r="G83" s="1">
        <v>1.1E-113</v>
      </c>
      <c r="H83">
        <v>0.29339999999999999</v>
      </c>
      <c r="I83">
        <v>2.41E-2</v>
      </c>
      <c r="J83">
        <v>0.80830000000000002</v>
      </c>
      <c r="K83">
        <v>0.49840000000000001</v>
      </c>
      <c r="L83">
        <v>1270.3869999999999</v>
      </c>
      <c r="M83">
        <v>78</v>
      </c>
      <c r="N83">
        <v>3259.8413999999998</v>
      </c>
      <c r="O83">
        <v>32.559199999999997</v>
      </c>
      <c r="P83">
        <v>566.35270000000003</v>
      </c>
      <c r="Q83">
        <v>-22.151199999999999</v>
      </c>
      <c r="R83" s="1">
        <v>4.8200000000000003E-146</v>
      </c>
      <c r="S83" s="1">
        <v>2.55E-5</v>
      </c>
      <c r="T83">
        <v>4.6199999999999998E-2</v>
      </c>
      <c r="U83">
        <v>6.93E-2</v>
      </c>
      <c r="V83">
        <v>0.53459999999999996</v>
      </c>
      <c r="W83">
        <v>1199.9987000000001</v>
      </c>
      <c r="X83">
        <v>75</v>
      </c>
      <c r="Y83">
        <f t="shared" si="12"/>
        <v>116.37930000000006</v>
      </c>
      <c r="Z83">
        <f t="shared" si="13"/>
        <v>-18.133699999999997</v>
      </c>
      <c r="AA83">
        <f t="shared" si="14"/>
        <v>420.62180000000001</v>
      </c>
      <c r="AB83">
        <f t="shared" si="15"/>
        <v>18.133600000000001</v>
      </c>
      <c r="AC83">
        <f t="shared" si="16"/>
        <v>1.1E-113</v>
      </c>
      <c r="AD83">
        <f t="shared" si="17"/>
        <v>0.29337449999999998</v>
      </c>
      <c r="AE83">
        <f t="shared" si="18"/>
        <v>-2.2099999999999998E-2</v>
      </c>
      <c r="AF83">
        <f t="shared" si="19"/>
        <v>0.73899999999999999</v>
      </c>
      <c r="AG83">
        <f t="shared" si="20"/>
        <v>-3.6199999999999954E-2</v>
      </c>
      <c r="AH83">
        <f t="shared" si="21"/>
        <v>70.388299999999845</v>
      </c>
      <c r="AI83">
        <f t="shared" si="21"/>
        <v>3</v>
      </c>
    </row>
    <row r="84" spans="1:35" x14ac:dyDescent="0.25">
      <c r="A84">
        <v>86769</v>
      </c>
      <c r="B84" t="s">
        <v>74</v>
      </c>
      <c r="C84">
        <v>19015.428599999999</v>
      </c>
      <c r="D84">
        <v>15447.544</v>
      </c>
      <c r="E84">
        <v>-91918.9758</v>
      </c>
      <c r="F84">
        <v>-18615.830999999998</v>
      </c>
      <c r="G84">
        <v>0.58699999999999997</v>
      </c>
      <c r="H84">
        <v>8.0000000000000004E-4</v>
      </c>
      <c r="I84">
        <v>2.5700000000000001E-2</v>
      </c>
      <c r="J84" s="1">
        <v>4.6100000000000002E-5</v>
      </c>
      <c r="K84">
        <v>0.66759999999999997</v>
      </c>
      <c r="L84">
        <v>1328.8658</v>
      </c>
      <c r="M84">
        <v>52</v>
      </c>
      <c r="N84">
        <v>51340.072699999997</v>
      </c>
      <c r="O84">
        <v>15436.939399999999</v>
      </c>
      <c r="P84">
        <v>-77805.547000000006</v>
      </c>
      <c r="Q84">
        <v>-18605.2264</v>
      </c>
      <c r="R84">
        <v>0.32490000000000002</v>
      </c>
      <c r="S84">
        <v>4.2799999999999998E-2</v>
      </c>
      <c r="T84">
        <v>3.7400000000000003E-2</v>
      </c>
      <c r="U84">
        <v>1.43E-2</v>
      </c>
      <c r="V84">
        <v>0.65380000000000005</v>
      </c>
      <c r="W84">
        <v>1255.0866000000001</v>
      </c>
      <c r="X84">
        <v>50</v>
      </c>
      <c r="Y84">
        <f t="shared" si="12"/>
        <v>-32324.644099999998</v>
      </c>
      <c r="Z84">
        <f t="shared" si="13"/>
        <v>10.604600000000573</v>
      </c>
      <c r="AA84">
        <f t="shared" si="14"/>
        <v>-14113.428799999994</v>
      </c>
      <c r="AB84">
        <f t="shared" si="15"/>
        <v>-10.604599999998754</v>
      </c>
      <c r="AC84">
        <f t="shared" si="16"/>
        <v>0.26209999999999994</v>
      </c>
      <c r="AD84">
        <f t="shared" si="17"/>
        <v>-4.1999999999999996E-2</v>
      </c>
      <c r="AE84">
        <f t="shared" si="18"/>
        <v>-1.1700000000000002E-2</v>
      </c>
      <c r="AF84">
        <f t="shared" si="19"/>
        <v>-1.42539E-2</v>
      </c>
      <c r="AG84">
        <f t="shared" si="20"/>
        <v>1.3799999999999923E-2</v>
      </c>
      <c r="AH84">
        <f t="shared" si="21"/>
        <v>73.779199999999946</v>
      </c>
      <c r="AI84">
        <f t="shared" si="21"/>
        <v>2</v>
      </c>
    </row>
    <row r="85" spans="1:35" x14ac:dyDescent="0.25">
      <c r="A85">
        <v>96130</v>
      </c>
      <c r="B85" t="s">
        <v>75</v>
      </c>
      <c r="C85">
        <v>22469.7667</v>
      </c>
      <c r="D85">
        <v>-440.54129999999998</v>
      </c>
      <c r="E85">
        <v>7924.2605999999996</v>
      </c>
      <c r="F85">
        <v>671.71600000000001</v>
      </c>
      <c r="G85" s="1">
        <v>5.8999999999999996E-15</v>
      </c>
      <c r="H85">
        <v>4.8800000000000003E-2</v>
      </c>
      <c r="I85">
        <v>2.81E-2</v>
      </c>
      <c r="J85">
        <v>4.4000000000000003E-3</v>
      </c>
      <c r="K85">
        <v>0.42830000000000001</v>
      </c>
      <c r="L85">
        <v>1340.6107</v>
      </c>
      <c r="M85">
        <v>66</v>
      </c>
      <c r="N85">
        <v>22654.372299999999</v>
      </c>
      <c r="O85">
        <v>-424.86099999999999</v>
      </c>
      <c r="P85">
        <v>6104.4256999999998</v>
      </c>
      <c r="Q85">
        <v>656.03570000000002</v>
      </c>
      <c r="R85" s="1">
        <v>9.3700000000000004E-15</v>
      </c>
      <c r="S85">
        <v>7.7600000000000002E-2</v>
      </c>
      <c r="T85">
        <v>7.0999999999999994E-2</v>
      </c>
      <c r="U85">
        <v>9.2999999999999992E-3</v>
      </c>
      <c r="V85">
        <v>0.37440000000000001</v>
      </c>
      <c r="W85">
        <v>1279.4401</v>
      </c>
      <c r="X85">
        <v>63</v>
      </c>
      <c r="Y85">
        <f t="shared" si="12"/>
        <v>-184.60559999999896</v>
      </c>
      <c r="Z85">
        <f t="shared" si="13"/>
        <v>-15.680299999999988</v>
      </c>
      <c r="AA85">
        <f t="shared" si="14"/>
        <v>1819.8348999999998</v>
      </c>
      <c r="AB85">
        <f t="shared" si="15"/>
        <v>15.680299999999988</v>
      </c>
      <c r="AC85">
        <f t="shared" si="16"/>
        <v>-3.4700000000000008E-15</v>
      </c>
      <c r="AD85">
        <f t="shared" si="17"/>
        <v>-2.8799999999999999E-2</v>
      </c>
      <c r="AE85">
        <f t="shared" si="18"/>
        <v>-4.2899999999999994E-2</v>
      </c>
      <c r="AF85">
        <f t="shared" si="19"/>
        <v>-4.899999999999999E-3</v>
      </c>
      <c r="AG85">
        <f t="shared" si="20"/>
        <v>5.3900000000000003E-2</v>
      </c>
      <c r="AH85">
        <f t="shared" si="21"/>
        <v>61.170599999999922</v>
      </c>
      <c r="AI85">
        <f t="shared" si="21"/>
        <v>3</v>
      </c>
    </row>
    <row r="86" spans="1:35" x14ac:dyDescent="0.25">
      <c r="A86">
        <v>82465</v>
      </c>
      <c r="B86" t="s">
        <v>76</v>
      </c>
      <c r="C86">
        <v>49561.629099999998</v>
      </c>
      <c r="D86">
        <v>-213.91059999999999</v>
      </c>
      <c r="E86">
        <v>11772.804700000001</v>
      </c>
      <c r="F86">
        <v>-7.2220000000000004</v>
      </c>
      <c r="G86" s="1">
        <v>8.9700000000000005E-102</v>
      </c>
      <c r="H86">
        <v>0.2359</v>
      </c>
      <c r="I86">
        <v>3.2099999999999997E-2</v>
      </c>
      <c r="J86">
        <v>0.97219999999999995</v>
      </c>
      <c r="K86">
        <v>0.11269999999999999</v>
      </c>
      <c r="L86">
        <v>1647.0499</v>
      </c>
      <c r="M86">
        <v>78</v>
      </c>
      <c r="N86">
        <v>48285.910900000003</v>
      </c>
      <c r="O86">
        <v>-14.5702</v>
      </c>
      <c r="P86">
        <v>6027.8995999999997</v>
      </c>
      <c r="Q86">
        <v>-206.5624</v>
      </c>
      <c r="R86" s="1">
        <v>2.02E-133</v>
      </c>
      <c r="S86">
        <v>0.89890000000000003</v>
      </c>
      <c r="T86">
        <v>9.3600000000000003E-2</v>
      </c>
      <c r="U86">
        <v>0.18770000000000001</v>
      </c>
      <c r="V86">
        <v>8.6400000000000005E-2</v>
      </c>
      <c r="W86">
        <v>1552.5419999999999</v>
      </c>
      <c r="X86">
        <v>75</v>
      </c>
      <c r="Y86">
        <f t="shared" si="12"/>
        <v>1275.7181999999957</v>
      </c>
      <c r="Z86">
        <f t="shared" si="13"/>
        <v>-199.34039999999999</v>
      </c>
      <c r="AA86">
        <f t="shared" si="14"/>
        <v>5744.9051000000009</v>
      </c>
      <c r="AB86">
        <f t="shared" si="15"/>
        <v>199.34039999999999</v>
      </c>
      <c r="AC86">
        <f t="shared" si="16"/>
        <v>8.9700000000000005E-102</v>
      </c>
      <c r="AD86">
        <f t="shared" si="17"/>
        <v>-0.66300000000000003</v>
      </c>
      <c r="AE86">
        <f t="shared" si="18"/>
        <v>-6.1500000000000006E-2</v>
      </c>
      <c r="AF86">
        <f t="shared" si="19"/>
        <v>0.78449999999999998</v>
      </c>
      <c r="AG86">
        <f t="shared" si="20"/>
        <v>2.629999999999999E-2</v>
      </c>
      <c r="AH86">
        <f t="shared" si="21"/>
        <v>94.507900000000063</v>
      </c>
      <c r="AI86">
        <f t="shared" si="21"/>
        <v>3</v>
      </c>
    </row>
    <row r="87" spans="1:35" x14ac:dyDescent="0.25">
      <c r="A87">
        <v>95992</v>
      </c>
      <c r="B87" t="s">
        <v>77</v>
      </c>
      <c r="C87">
        <v>60.169699999999999</v>
      </c>
      <c r="D87">
        <v>-0.3891</v>
      </c>
      <c r="E87">
        <v>58.881799999999998</v>
      </c>
      <c r="F87">
        <v>2.391</v>
      </c>
      <c r="G87" s="1">
        <v>3.4499999999999998E-5</v>
      </c>
      <c r="H87">
        <v>0.57979999999999998</v>
      </c>
      <c r="I87">
        <v>3.2899999999999999E-2</v>
      </c>
      <c r="J87">
        <v>5.6800000000000003E-2</v>
      </c>
      <c r="K87">
        <v>0.44729999999999998</v>
      </c>
      <c r="L87">
        <v>867.79420000000005</v>
      </c>
      <c r="M87">
        <v>72</v>
      </c>
      <c r="N87">
        <v>57.3155</v>
      </c>
      <c r="O87">
        <v>-7.0900000000000005E-2</v>
      </c>
      <c r="P87">
        <v>50.386299999999999</v>
      </c>
      <c r="Q87">
        <v>2.0728</v>
      </c>
      <c r="R87">
        <v>2.9999999999999997E-4</v>
      </c>
      <c r="S87">
        <v>0.92889999999999995</v>
      </c>
      <c r="T87">
        <v>6.3200000000000006E-2</v>
      </c>
      <c r="U87">
        <v>0.11360000000000001</v>
      </c>
      <c r="V87">
        <v>0.42909999999999998</v>
      </c>
      <c r="W87">
        <v>836.16830000000004</v>
      </c>
      <c r="X87">
        <v>71</v>
      </c>
      <c r="Y87">
        <f t="shared" si="12"/>
        <v>2.8541999999999987</v>
      </c>
      <c r="Z87">
        <f t="shared" si="13"/>
        <v>-0.31819999999999998</v>
      </c>
      <c r="AA87">
        <f t="shared" si="14"/>
        <v>8.4954999999999998</v>
      </c>
      <c r="AB87">
        <f t="shared" si="15"/>
        <v>0.31820000000000004</v>
      </c>
      <c r="AC87">
        <f t="shared" si="16"/>
        <v>-2.655E-4</v>
      </c>
      <c r="AD87">
        <f t="shared" si="17"/>
        <v>-0.34909999999999997</v>
      </c>
      <c r="AE87">
        <f t="shared" si="18"/>
        <v>-3.0300000000000007E-2</v>
      </c>
      <c r="AF87">
        <f t="shared" si="19"/>
        <v>-5.6800000000000003E-2</v>
      </c>
      <c r="AG87">
        <f t="shared" si="20"/>
        <v>1.8199999999999994E-2</v>
      </c>
      <c r="AH87">
        <f t="shared" si="21"/>
        <v>31.625900000000001</v>
      </c>
      <c r="AI87">
        <f t="shared" si="21"/>
        <v>1</v>
      </c>
    </row>
    <row r="88" spans="1:35" x14ac:dyDescent="0.25">
      <c r="A88">
        <v>94761</v>
      </c>
      <c r="B88" t="s">
        <v>78</v>
      </c>
      <c r="C88">
        <v>20358.199700000001</v>
      </c>
      <c r="D88">
        <v>-252.43199999999999</v>
      </c>
      <c r="E88">
        <v>2904.203</v>
      </c>
      <c r="F88">
        <v>255.01920000000001</v>
      </c>
      <c r="G88" s="1">
        <v>9.8200000000000005E-241</v>
      </c>
      <c r="H88" s="1">
        <v>4.1499999999999999E-9</v>
      </c>
      <c r="I88">
        <v>3.4700000000000002E-2</v>
      </c>
      <c r="J88" s="1">
        <v>7.0800000000000004E-7</v>
      </c>
      <c r="K88">
        <v>0.47539999999999999</v>
      </c>
      <c r="L88">
        <v>1426.1717000000001</v>
      </c>
      <c r="M88">
        <v>78</v>
      </c>
      <c r="N88">
        <v>20099.5419</v>
      </c>
      <c r="O88">
        <v>-219.08690000000001</v>
      </c>
      <c r="P88">
        <v>1338.5199</v>
      </c>
      <c r="Q88">
        <v>221.67400000000001</v>
      </c>
      <c r="R88" s="1">
        <v>5.1400000000000004E-230</v>
      </c>
      <c r="S88" s="1">
        <v>4.6199999999999998E-7</v>
      </c>
      <c r="T88">
        <v>0.28039999999999998</v>
      </c>
      <c r="U88" s="1">
        <v>2.1500000000000001E-5</v>
      </c>
      <c r="V88">
        <v>0.48170000000000002</v>
      </c>
      <c r="W88">
        <v>1354.4918</v>
      </c>
      <c r="X88">
        <v>75</v>
      </c>
      <c r="Y88">
        <f t="shared" si="12"/>
        <v>258.65780000000086</v>
      </c>
      <c r="Z88">
        <f t="shared" si="13"/>
        <v>-33.345099999999974</v>
      </c>
      <c r="AA88">
        <f t="shared" si="14"/>
        <v>1565.6831</v>
      </c>
      <c r="AB88">
        <f t="shared" si="15"/>
        <v>33.345200000000006</v>
      </c>
      <c r="AC88">
        <f t="shared" si="16"/>
        <v>-5.1399999999018006E-230</v>
      </c>
      <c r="AD88">
        <f t="shared" si="17"/>
        <v>-4.5784999999999999E-7</v>
      </c>
      <c r="AE88">
        <f t="shared" si="18"/>
        <v>-0.24569999999999997</v>
      </c>
      <c r="AF88">
        <f t="shared" si="19"/>
        <v>-2.0792E-5</v>
      </c>
      <c r="AG88">
        <f t="shared" si="20"/>
        <v>-6.3000000000000278E-3</v>
      </c>
      <c r="AH88">
        <f t="shared" si="21"/>
        <v>71.679900000000089</v>
      </c>
      <c r="AI88">
        <f t="shared" si="21"/>
        <v>3</v>
      </c>
    </row>
    <row r="89" spans="1:35" x14ac:dyDescent="0.25">
      <c r="A89">
        <v>93226</v>
      </c>
      <c r="B89" t="s">
        <v>34</v>
      </c>
      <c r="C89">
        <v>4360.8843999999999</v>
      </c>
      <c r="D89">
        <v>19.195499999999999</v>
      </c>
      <c r="E89">
        <v>853.84469999999999</v>
      </c>
      <c r="F89">
        <v>-76.016099999999994</v>
      </c>
      <c r="G89" s="1">
        <v>2.51E-125</v>
      </c>
      <c r="H89">
        <v>0.1542</v>
      </c>
      <c r="I89">
        <v>3.9100000000000003E-2</v>
      </c>
      <c r="J89" s="1">
        <v>9.8200000000000008E-7</v>
      </c>
      <c r="K89">
        <v>0.3775</v>
      </c>
      <c r="L89">
        <v>1254.4173000000001</v>
      </c>
      <c r="M89">
        <v>78</v>
      </c>
      <c r="N89">
        <v>4235.3351000000002</v>
      </c>
      <c r="O89">
        <v>37.509399999999999</v>
      </c>
      <c r="P89">
        <v>450.93680000000001</v>
      </c>
      <c r="Q89">
        <v>-94.33</v>
      </c>
      <c r="R89" s="1">
        <v>1.13E-126</v>
      </c>
      <c r="S89" s="1">
        <v>1.26E-6</v>
      </c>
      <c r="T89">
        <v>7.3400000000000007E-2</v>
      </c>
      <c r="U89" s="1">
        <v>1.0600000000000001E-17</v>
      </c>
      <c r="V89">
        <v>0.52380000000000004</v>
      </c>
      <c r="W89">
        <v>1175.7345</v>
      </c>
      <c r="X89">
        <v>75</v>
      </c>
      <c r="Y89">
        <f t="shared" si="12"/>
        <v>125.54929999999968</v>
      </c>
      <c r="Z89">
        <f t="shared" si="13"/>
        <v>-18.3139</v>
      </c>
      <c r="AA89">
        <f t="shared" si="14"/>
        <v>402.90789999999998</v>
      </c>
      <c r="AB89">
        <f t="shared" si="15"/>
        <v>18.313900000000004</v>
      </c>
      <c r="AC89">
        <f t="shared" si="16"/>
        <v>2.3969999999999998E-125</v>
      </c>
      <c r="AD89">
        <f t="shared" si="17"/>
        <v>0.15419874</v>
      </c>
      <c r="AE89">
        <f t="shared" si="18"/>
        <v>-3.4300000000000004E-2</v>
      </c>
      <c r="AF89">
        <f t="shared" si="19"/>
        <v>9.819999999894001E-7</v>
      </c>
      <c r="AG89">
        <f t="shared" si="20"/>
        <v>-0.14630000000000004</v>
      </c>
      <c r="AH89">
        <f t="shared" si="21"/>
        <v>78.682800000000043</v>
      </c>
      <c r="AI89">
        <f t="shared" si="21"/>
        <v>3</v>
      </c>
    </row>
    <row r="90" spans="1:35" x14ac:dyDescent="0.25">
      <c r="A90">
        <v>82570</v>
      </c>
      <c r="B90" t="s">
        <v>79</v>
      </c>
      <c r="C90">
        <v>235857.79579999999</v>
      </c>
      <c r="D90">
        <v>-399.94389999999999</v>
      </c>
      <c r="E90">
        <v>34430.764000000003</v>
      </c>
      <c r="F90">
        <v>2679.8542000000002</v>
      </c>
      <c r="G90" s="1">
        <v>1.5899999999999999E-298</v>
      </c>
      <c r="H90">
        <v>0.46</v>
      </c>
      <c r="I90">
        <v>4.1700000000000001E-2</v>
      </c>
      <c r="J90" s="1">
        <v>6.2899999999999997E-5</v>
      </c>
      <c r="K90">
        <v>0.67490000000000006</v>
      </c>
      <c r="L90">
        <v>1847.1257000000001</v>
      </c>
      <c r="M90">
        <v>78</v>
      </c>
      <c r="N90">
        <v>232183.97150000001</v>
      </c>
      <c r="O90">
        <v>203.76499999999999</v>
      </c>
      <c r="P90">
        <v>17586.071</v>
      </c>
      <c r="Q90">
        <v>2076.1453000000001</v>
      </c>
      <c r="R90" s="1" t="s">
        <v>80</v>
      </c>
      <c r="S90">
        <v>0.53920000000000001</v>
      </c>
      <c r="T90">
        <v>0.1087</v>
      </c>
      <c r="U90" s="1">
        <v>5.6799999999999998E-5</v>
      </c>
      <c r="V90">
        <v>0.71</v>
      </c>
      <c r="W90">
        <v>1753.9372000000001</v>
      </c>
      <c r="X90">
        <v>75</v>
      </c>
      <c r="Y90">
        <f t="shared" si="12"/>
        <v>3673.8242999999784</v>
      </c>
      <c r="Z90">
        <f t="shared" si="13"/>
        <v>-603.70889999999997</v>
      </c>
      <c r="AA90">
        <f t="shared" si="14"/>
        <v>16844.693000000003</v>
      </c>
      <c r="AB90">
        <f t="shared" si="15"/>
        <v>603.70890000000009</v>
      </c>
      <c r="AC90" t="e">
        <f t="shared" si="16"/>
        <v>#VALUE!</v>
      </c>
      <c r="AD90">
        <f t="shared" si="17"/>
        <v>-7.9199999999999993E-2</v>
      </c>
      <c r="AE90">
        <f t="shared" si="18"/>
        <v>-6.7000000000000004E-2</v>
      </c>
      <c r="AF90">
        <f t="shared" si="19"/>
        <v>6.0999999999999992E-6</v>
      </c>
      <c r="AG90">
        <f t="shared" si="20"/>
        <v>-3.5099999999999909E-2</v>
      </c>
      <c r="AH90">
        <f t="shared" si="21"/>
        <v>93.188499999999976</v>
      </c>
      <c r="AI90">
        <f t="shared" si="21"/>
        <v>3</v>
      </c>
    </row>
    <row r="91" spans="1:35" x14ac:dyDescent="0.25">
      <c r="A91">
        <v>71250</v>
      </c>
      <c r="B91" t="s">
        <v>52</v>
      </c>
      <c r="C91">
        <v>24973.394899999999</v>
      </c>
      <c r="D91">
        <v>231.27430000000001</v>
      </c>
      <c r="E91">
        <v>4537.4915000000001</v>
      </c>
      <c r="F91">
        <v>7.2956000000000003</v>
      </c>
      <c r="G91" s="1">
        <v>3.42E-234</v>
      </c>
      <c r="H91">
        <v>2.9999999999999997E-4</v>
      </c>
      <c r="I91">
        <v>4.4900000000000002E-2</v>
      </c>
      <c r="J91">
        <v>0.93</v>
      </c>
      <c r="K91">
        <v>0.73880000000000001</v>
      </c>
      <c r="L91">
        <v>1546.3101999999999</v>
      </c>
      <c r="M91">
        <v>78</v>
      </c>
      <c r="N91">
        <v>24215.901999999998</v>
      </c>
      <c r="O91">
        <v>337.08760000000001</v>
      </c>
      <c r="P91">
        <v>2602.7813999999998</v>
      </c>
      <c r="Q91">
        <v>-98.517700000000005</v>
      </c>
      <c r="R91" s="1">
        <v>1.06E-234</v>
      </c>
      <c r="S91" s="1">
        <v>4.0800000000000001E-22</v>
      </c>
      <c r="T91">
        <v>9.2100000000000001E-2</v>
      </c>
      <c r="U91">
        <v>0.121</v>
      </c>
      <c r="V91">
        <v>0.77710000000000001</v>
      </c>
      <c r="W91">
        <v>1468.4740999999999</v>
      </c>
      <c r="X91">
        <v>75</v>
      </c>
      <c r="Y91">
        <f t="shared" si="12"/>
        <v>757.4929000000011</v>
      </c>
      <c r="Z91">
        <f t="shared" si="13"/>
        <v>-105.8133</v>
      </c>
      <c r="AA91">
        <f t="shared" si="14"/>
        <v>1934.7101000000002</v>
      </c>
      <c r="AB91">
        <f t="shared" si="15"/>
        <v>105.8133</v>
      </c>
      <c r="AC91">
        <f t="shared" si="16"/>
        <v>2.3600000000000001E-234</v>
      </c>
      <c r="AD91">
        <f t="shared" si="17"/>
        <v>2.9999999999999997E-4</v>
      </c>
      <c r="AE91">
        <f t="shared" si="18"/>
        <v>-4.7199999999999999E-2</v>
      </c>
      <c r="AF91">
        <f t="shared" si="19"/>
        <v>0.80900000000000005</v>
      </c>
      <c r="AG91">
        <f t="shared" si="20"/>
        <v>-3.8300000000000001E-2</v>
      </c>
      <c r="AH91">
        <f t="shared" si="21"/>
        <v>77.836099999999988</v>
      </c>
      <c r="AI91">
        <f t="shared" si="21"/>
        <v>3</v>
      </c>
    </row>
    <row r="92" spans="1:35" x14ac:dyDescent="0.25">
      <c r="A92">
        <v>85610</v>
      </c>
      <c r="B92" t="s">
        <v>81</v>
      </c>
      <c r="C92">
        <v>443088.59009999997</v>
      </c>
      <c r="D92">
        <v>-641.50509999999997</v>
      </c>
      <c r="E92">
        <v>41096.6302</v>
      </c>
      <c r="F92">
        <v>-1019.9884</v>
      </c>
      <c r="G92">
        <v>0</v>
      </c>
      <c r="H92">
        <v>0.30170000000000002</v>
      </c>
      <c r="I92">
        <v>4.5900000000000003E-2</v>
      </c>
      <c r="J92">
        <v>0.17150000000000001</v>
      </c>
      <c r="K92">
        <v>0.18770000000000001</v>
      </c>
      <c r="L92">
        <v>1860.5262</v>
      </c>
      <c r="M92">
        <v>78</v>
      </c>
      <c r="N92">
        <v>437397.88059999997</v>
      </c>
      <c r="O92">
        <v>191.70820000000001</v>
      </c>
      <c r="P92">
        <v>18199.9964</v>
      </c>
      <c r="Q92">
        <v>-1853.2018</v>
      </c>
      <c r="R92">
        <v>0</v>
      </c>
      <c r="S92">
        <v>0.51070000000000004</v>
      </c>
      <c r="T92">
        <v>0.15529999999999999</v>
      </c>
      <c r="U92">
        <v>2.9999999999999997E-4</v>
      </c>
      <c r="V92">
        <v>0.29670000000000002</v>
      </c>
      <c r="W92">
        <v>1753.6369999999999</v>
      </c>
      <c r="X92">
        <v>75</v>
      </c>
      <c r="Y92">
        <f t="shared" si="12"/>
        <v>5690.7094999999972</v>
      </c>
      <c r="Z92">
        <f t="shared" si="13"/>
        <v>-833.2133</v>
      </c>
      <c r="AA92">
        <f t="shared" si="14"/>
        <v>22896.6338</v>
      </c>
      <c r="AB92">
        <f t="shared" si="15"/>
        <v>833.21340000000009</v>
      </c>
      <c r="AC92">
        <f t="shared" si="16"/>
        <v>0</v>
      </c>
      <c r="AD92">
        <f t="shared" si="17"/>
        <v>-0.20900000000000002</v>
      </c>
      <c r="AE92">
        <f t="shared" si="18"/>
        <v>-0.1094</v>
      </c>
      <c r="AF92">
        <f t="shared" si="19"/>
        <v>0.17120000000000002</v>
      </c>
      <c r="AG92">
        <f t="shared" si="20"/>
        <v>-0.10900000000000001</v>
      </c>
      <c r="AH92">
        <f t="shared" si="21"/>
        <v>106.88920000000007</v>
      </c>
      <c r="AI92">
        <f t="shared" si="21"/>
        <v>3</v>
      </c>
    </row>
    <row r="93" spans="1:35" x14ac:dyDescent="0.25">
      <c r="A93">
        <v>95908</v>
      </c>
      <c r="B93" t="s">
        <v>31</v>
      </c>
      <c r="C93">
        <v>468.74619999999999</v>
      </c>
      <c r="D93">
        <v>-6.1077000000000004</v>
      </c>
      <c r="E93">
        <v>115.6315</v>
      </c>
      <c r="F93">
        <v>7.6188000000000002</v>
      </c>
      <c r="G93" s="1">
        <v>1.7600000000000001E-73</v>
      </c>
      <c r="H93">
        <v>1.6000000000000001E-3</v>
      </c>
      <c r="I93">
        <v>4.7E-2</v>
      </c>
      <c r="J93">
        <v>6.9999999999999999E-4</v>
      </c>
      <c r="K93">
        <v>0.1973</v>
      </c>
      <c r="L93">
        <v>957.30930000000001</v>
      </c>
      <c r="M93">
        <v>77</v>
      </c>
      <c r="N93">
        <v>463.71839999999997</v>
      </c>
      <c r="O93">
        <v>-4.7740999999999998</v>
      </c>
      <c r="P93">
        <v>59.659100000000002</v>
      </c>
      <c r="Q93">
        <v>6.2850999999999999</v>
      </c>
      <c r="R93" s="1">
        <v>9.7999999999999994E-87</v>
      </c>
      <c r="S93">
        <v>1E-4</v>
      </c>
      <c r="T93">
        <v>0.12939999999999999</v>
      </c>
      <c r="U93">
        <v>2.0000000000000001E-4</v>
      </c>
      <c r="V93">
        <v>0.12820000000000001</v>
      </c>
      <c r="W93">
        <v>902.98990000000003</v>
      </c>
      <c r="X93">
        <v>75</v>
      </c>
      <c r="Y93">
        <f t="shared" si="12"/>
        <v>5.0278000000000134</v>
      </c>
      <c r="Z93">
        <f t="shared" si="13"/>
        <v>-1.3336000000000006</v>
      </c>
      <c r="AA93">
        <f t="shared" si="14"/>
        <v>55.9724</v>
      </c>
      <c r="AB93">
        <f t="shared" si="15"/>
        <v>1.3337000000000003</v>
      </c>
      <c r="AC93">
        <f t="shared" si="16"/>
        <v>1.7599999999999021E-73</v>
      </c>
      <c r="AD93">
        <f t="shared" si="17"/>
        <v>1.5E-3</v>
      </c>
      <c r="AE93">
        <f t="shared" si="18"/>
        <v>-8.2399999999999987E-2</v>
      </c>
      <c r="AF93">
        <f t="shared" si="19"/>
        <v>5.0000000000000001E-4</v>
      </c>
      <c r="AG93">
        <f t="shared" si="20"/>
        <v>6.9099999999999995E-2</v>
      </c>
      <c r="AH93">
        <f t="shared" si="21"/>
        <v>54.319399999999973</v>
      </c>
      <c r="AI93">
        <f t="shared" si="21"/>
        <v>2</v>
      </c>
    </row>
    <row r="94" spans="1:35" x14ac:dyDescent="0.25">
      <c r="A94">
        <v>25600</v>
      </c>
      <c r="B94" t="s">
        <v>82</v>
      </c>
      <c r="C94">
        <v>611.87090000000001</v>
      </c>
      <c r="D94">
        <v>-5.5894000000000004</v>
      </c>
      <c r="E94">
        <v>269.86660000000001</v>
      </c>
      <c r="F94">
        <v>6.5136000000000003</v>
      </c>
      <c r="G94" s="1">
        <v>5.1900000000000003E-12</v>
      </c>
      <c r="H94">
        <v>0.1308</v>
      </c>
      <c r="I94">
        <v>4.9299999999999997E-2</v>
      </c>
      <c r="J94">
        <v>0.30380000000000001</v>
      </c>
      <c r="K94">
        <v>0.121</v>
      </c>
      <c r="L94">
        <v>1117.6932999999999</v>
      </c>
      <c r="M94">
        <v>78</v>
      </c>
      <c r="N94">
        <v>595.71299999999997</v>
      </c>
      <c r="O94">
        <v>-3.7566999999999999</v>
      </c>
      <c r="P94">
        <v>210.60769999999999</v>
      </c>
      <c r="Q94">
        <v>4.6807999999999996</v>
      </c>
      <c r="R94" s="1">
        <v>5.2800000000000001E-11</v>
      </c>
      <c r="S94">
        <v>0.39429999999999998</v>
      </c>
      <c r="T94">
        <v>0.13669999999999999</v>
      </c>
      <c r="U94">
        <v>0.49370000000000003</v>
      </c>
      <c r="V94">
        <v>8.9399999999999993E-2</v>
      </c>
      <c r="W94">
        <v>1076.2234000000001</v>
      </c>
      <c r="X94">
        <v>75</v>
      </c>
      <c r="Y94">
        <f t="shared" si="12"/>
        <v>16.157900000000041</v>
      </c>
      <c r="Z94">
        <f t="shared" si="13"/>
        <v>-1.8327000000000004</v>
      </c>
      <c r="AA94">
        <f t="shared" si="14"/>
        <v>59.258900000000011</v>
      </c>
      <c r="AB94">
        <f t="shared" si="15"/>
        <v>1.8328000000000007</v>
      </c>
      <c r="AC94">
        <f t="shared" si="16"/>
        <v>-4.7610000000000004E-11</v>
      </c>
      <c r="AD94">
        <f t="shared" si="17"/>
        <v>-0.26349999999999996</v>
      </c>
      <c r="AE94">
        <f t="shared" si="18"/>
        <v>-8.7399999999999992E-2</v>
      </c>
      <c r="AF94">
        <f t="shared" si="19"/>
        <v>-0.18990000000000001</v>
      </c>
      <c r="AG94">
        <f t="shared" si="20"/>
        <v>3.1600000000000003E-2</v>
      </c>
      <c r="AH94">
        <f t="shared" si="21"/>
        <v>41.469899999999825</v>
      </c>
      <c r="AI94">
        <f t="shared" si="21"/>
        <v>3</v>
      </c>
    </row>
    <row r="95" spans="1:35" x14ac:dyDescent="0.25">
      <c r="A95">
        <v>85384</v>
      </c>
      <c r="B95" t="s">
        <v>83</v>
      </c>
      <c r="C95">
        <v>4283.0119999999997</v>
      </c>
      <c r="D95">
        <v>222.66759999999999</v>
      </c>
      <c r="E95">
        <v>1337.9576</v>
      </c>
      <c r="F95">
        <v>-284.05520000000001</v>
      </c>
      <c r="G95" s="1">
        <v>5.6899999999999999E-34</v>
      </c>
      <c r="H95" s="1">
        <v>4.7E-19</v>
      </c>
      <c r="I95">
        <v>5.0299999999999997E-2</v>
      </c>
      <c r="J95" s="1">
        <v>2.1999999999999999E-23</v>
      </c>
      <c r="K95">
        <v>0.84419999999999995</v>
      </c>
      <c r="L95">
        <v>1331.4933000000001</v>
      </c>
      <c r="M95">
        <v>78</v>
      </c>
      <c r="N95">
        <v>4120.2227999999996</v>
      </c>
      <c r="O95">
        <v>250.74359999999999</v>
      </c>
      <c r="P95">
        <v>1270.3149000000001</v>
      </c>
      <c r="Q95">
        <v>-312.13130000000001</v>
      </c>
      <c r="R95" s="1">
        <v>3.46E-26</v>
      </c>
      <c r="S95" s="1">
        <v>2.18E-18</v>
      </c>
      <c r="T95">
        <v>6.6400000000000001E-2</v>
      </c>
      <c r="U95" s="1">
        <v>1.49E-22</v>
      </c>
      <c r="V95">
        <v>0.85089999999999999</v>
      </c>
      <c r="W95">
        <v>1278.1486</v>
      </c>
      <c r="X95">
        <v>75</v>
      </c>
      <c r="Y95">
        <f t="shared" si="12"/>
        <v>162.78920000000016</v>
      </c>
      <c r="Z95">
        <f t="shared" si="13"/>
        <v>-28.075999999999993</v>
      </c>
      <c r="AA95">
        <f t="shared" si="14"/>
        <v>67.642699999999877</v>
      </c>
      <c r="AB95">
        <f t="shared" si="15"/>
        <v>28.076099999999997</v>
      </c>
      <c r="AC95">
        <f t="shared" si="16"/>
        <v>-3.4599999431000002E-26</v>
      </c>
      <c r="AD95">
        <f t="shared" si="17"/>
        <v>-1.71E-18</v>
      </c>
      <c r="AE95">
        <f t="shared" si="18"/>
        <v>-1.6100000000000003E-2</v>
      </c>
      <c r="AF95">
        <f t="shared" si="19"/>
        <v>-1.27E-22</v>
      </c>
      <c r="AG95">
        <f t="shared" si="20"/>
        <v>-6.7000000000000393E-3</v>
      </c>
      <c r="AH95">
        <f t="shared" si="21"/>
        <v>53.344700000000103</v>
      </c>
      <c r="AI95">
        <f t="shared" si="21"/>
        <v>3</v>
      </c>
    </row>
    <row r="96" spans="1:35" x14ac:dyDescent="0.25">
      <c r="A96">
        <v>95885</v>
      </c>
      <c r="B96" t="s">
        <v>45</v>
      </c>
      <c r="C96">
        <v>1518.0856000000001</v>
      </c>
      <c r="D96">
        <v>-8.4382000000000001</v>
      </c>
      <c r="E96">
        <v>331.11399999999998</v>
      </c>
      <c r="F96">
        <v>17.821200000000001</v>
      </c>
      <c r="G96" s="1">
        <v>1.7499999999999999E-70</v>
      </c>
      <c r="H96">
        <v>0.1721</v>
      </c>
      <c r="I96">
        <v>6.1199999999999997E-2</v>
      </c>
      <c r="J96">
        <v>1.0500000000000001E-2</v>
      </c>
      <c r="K96">
        <v>0.30409999999999998</v>
      </c>
      <c r="L96">
        <v>1143.0978</v>
      </c>
      <c r="M96">
        <v>78</v>
      </c>
      <c r="N96">
        <v>1475.9785999999999</v>
      </c>
      <c r="O96">
        <v>-1.6520999999999999</v>
      </c>
      <c r="P96">
        <v>130.74950000000001</v>
      </c>
      <c r="Q96">
        <v>11.035</v>
      </c>
      <c r="R96" s="1">
        <v>6.0899999999999996E-67</v>
      </c>
      <c r="S96">
        <v>0.67949999999999999</v>
      </c>
      <c r="T96">
        <v>0.2029</v>
      </c>
      <c r="U96">
        <v>3.09E-2</v>
      </c>
      <c r="V96">
        <v>0.27110000000000001</v>
      </c>
      <c r="W96">
        <v>1078.5346</v>
      </c>
      <c r="X96">
        <v>75</v>
      </c>
      <c r="Y96">
        <f t="shared" si="12"/>
        <v>42.107000000000198</v>
      </c>
      <c r="Z96">
        <f t="shared" si="13"/>
        <v>-6.7861000000000002</v>
      </c>
      <c r="AA96">
        <f t="shared" si="14"/>
        <v>200.36449999999996</v>
      </c>
      <c r="AB96">
        <f t="shared" si="15"/>
        <v>6.7862000000000009</v>
      </c>
      <c r="AC96">
        <f t="shared" si="16"/>
        <v>-6.0882499999999995E-67</v>
      </c>
      <c r="AD96">
        <f t="shared" si="17"/>
        <v>-0.50739999999999996</v>
      </c>
      <c r="AE96">
        <f t="shared" si="18"/>
        <v>-0.14169999999999999</v>
      </c>
      <c r="AF96">
        <f t="shared" si="19"/>
        <v>-2.0400000000000001E-2</v>
      </c>
      <c r="AG96">
        <f t="shared" si="20"/>
        <v>3.2999999999999974E-2</v>
      </c>
      <c r="AH96">
        <f t="shared" si="21"/>
        <v>64.563200000000052</v>
      </c>
      <c r="AI96">
        <f t="shared" si="21"/>
        <v>3</v>
      </c>
    </row>
    <row r="97" spans="1:35" x14ac:dyDescent="0.25">
      <c r="A97">
        <v>86357</v>
      </c>
      <c r="B97" t="s">
        <v>84</v>
      </c>
      <c r="C97">
        <v>2518.4069</v>
      </c>
      <c r="D97">
        <v>24.503699999999998</v>
      </c>
      <c r="E97">
        <v>463.60239999999999</v>
      </c>
      <c r="F97">
        <v>-17.843599999999999</v>
      </c>
      <c r="G97" s="1">
        <v>1.09E-99</v>
      </c>
      <c r="H97">
        <v>3.3E-3</v>
      </c>
      <c r="I97">
        <v>6.9099999999999995E-2</v>
      </c>
      <c r="J97">
        <v>7.9299999999999995E-2</v>
      </c>
      <c r="K97">
        <v>0.59319999999999995</v>
      </c>
      <c r="L97">
        <v>1193.0514000000001</v>
      </c>
      <c r="M97">
        <v>78</v>
      </c>
      <c r="N97">
        <v>2396.7701000000002</v>
      </c>
      <c r="O97">
        <v>39.508699999999997</v>
      </c>
      <c r="P97">
        <v>178.59180000000001</v>
      </c>
      <c r="Q97">
        <v>-32.848500000000001</v>
      </c>
      <c r="R97" s="1">
        <v>2.7799999999999999E-122</v>
      </c>
      <c r="S97" s="1">
        <v>5.8399999999999997E-9</v>
      </c>
      <c r="T97">
        <v>0.3372</v>
      </c>
      <c r="U97">
        <v>2.9999999999999997E-4</v>
      </c>
      <c r="V97">
        <v>0.68259999999999998</v>
      </c>
      <c r="W97">
        <v>1116.0329999999999</v>
      </c>
      <c r="X97">
        <v>75</v>
      </c>
      <c r="Y97">
        <f t="shared" si="12"/>
        <v>121.63679999999977</v>
      </c>
      <c r="Z97">
        <f t="shared" si="13"/>
        <v>-15.004999999999999</v>
      </c>
      <c r="AA97">
        <f t="shared" si="14"/>
        <v>285.01059999999995</v>
      </c>
      <c r="AB97">
        <f t="shared" si="15"/>
        <v>15.004900000000003</v>
      </c>
      <c r="AC97">
        <f t="shared" si="16"/>
        <v>1.09E-99</v>
      </c>
      <c r="AD97">
        <f t="shared" si="17"/>
        <v>3.2999941599999999E-3</v>
      </c>
      <c r="AE97">
        <f t="shared" si="18"/>
        <v>-0.2681</v>
      </c>
      <c r="AF97">
        <f t="shared" si="19"/>
        <v>7.9000000000000001E-2</v>
      </c>
      <c r="AG97">
        <f t="shared" si="20"/>
        <v>-8.9400000000000035E-2</v>
      </c>
      <c r="AH97">
        <f t="shared" si="21"/>
        <v>77.018400000000156</v>
      </c>
      <c r="AI97">
        <f t="shared" si="21"/>
        <v>3</v>
      </c>
    </row>
    <row r="98" spans="1:35" x14ac:dyDescent="0.25">
      <c r="A98">
        <v>95912</v>
      </c>
      <c r="B98" t="s">
        <v>31</v>
      </c>
      <c r="C98">
        <v>2215.8198000000002</v>
      </c>
      <c r="D98">
        <v>-17.204000000000001</v>
      </c>
      <c r="E98">
        <v>335.5881</v>
      </c>
      <c r="F98">
        <v>36.334400000000002</v>
      </c>
      <c r="G98" s="1">
        <v>9.5800000000000005E-160</v>
      </c>
      <c r="H98">
        <v>3.3999999999999998E-3</v>
      </c>
      <c r="I98">
        <v>8.0299999999999996E-2</v>
      </c>
      <c r="J98" s="1">
        <v>1.7099999999999999E-6</v>
      </c>
      <c r="K98">
        <v>0.4083</v>
      </c>
      <c r="L98">
        <v>1160.1477</v>
      </c>
      <c r="M98">
        <v>78</v>
      </c>
      <c r="N98">
        <v>2181.5401000000002</v>
      </c>
      <c r="O98">
        <v>-11.4031</v>
      </c>
      <c r="P98">
        <v>132.6266</v>
      </c>
      <c r="Q98">
        <v>30.5335</v>
      </c>
      <c r="R98" s="1">
        <v>1.12E-169</v>
      </c>
      <c r="S98">
        <v>3.0999999999999999E-3</v>
      </c>
      <c r="T98">
        <v>0.32479999999999998</v>
      </c>
      <c r="U98" s="1">
        <v>1.0100000000000001E-6</v>
      </c>
      <c r="V98">
        <v>0.38040000000000002</v>
      </c>
      <c r="W98">
        <v>1100.6781000000001</v>
      </c>
      <c r="X98">
        <v>75</v>
      </c>
      <c r="Y98">
        <f t="shared" si="12"/>
        <v>34.279700000000048</v>
      </c>
      <c r="Z98">
        <f t="shared" si="13"/>
        <v>-5.8009000000000004</v>
      </c>
      <c r="AA98">
        <f t="shared" si="14"/>
        <v>202.9615</v>
      </c>
      <c r="AB98">
        <f t="shared" si="15"/>
        <v>5.8009000000000022</v>
      </c>
      <c r="AC98">
        <f t="shared" si="16"/>
        <v>9.5799999988800007E-160</v>
      </c>
      <c r="AD98">
        <f t="shared" si="17"/>
        <v>2.9999999999999992E-4</v>
      </c>
      <c r="AE98">
        <f t="shared" si="18"/>
        <v>-0.2445</v>
      </c>
      <c r="AF98">
        <f t="shared" si="19"/>
        <v>6.9999999999999986E-7</v>
      </c>
      <c r="AG98">
        <f t="shared" si="20"/>
        <v>2.789999999999998E-2</v>
      </c>
      <c r="AH98">
        <f t="shared" si="21"/>
        <v>59.4695999999999</v>
      </c>
      <c r="AI98">
        <f t="shared" si="21"/>
        <v>3</v>
      </c>
    </row>
    <row r="99" spans="1:35" x14ac:dyDescent="0.25">
      <c r="A99">
        <v>92588</v>
      </c>
      <c r="B99" t="s">
        <v>85</v>
      </c>
      <c r="C99">
        <v>9056.6636999999992</v>
      </c>
      <c r="D99">
        <v>-87.320499999999996</v>
      </c>
      <c r="E99">
        <v>1523.9450999999999</v>
      </c>
      <c r="F99">
        <v>146.1815</v>
      </c>
      <c r="G99" s="1">
        <v>1.0200000000000001E-70</v>
      </c>
      <c r="H99">
        <v>8.6E-3</v>
      </c>
      <c r="I99">
        <v>8.2000000000000003E-2</v>
      </c>
      <c r="J99" s="1">
        <v>6.8300000000000007E-5</v>
      </c>
      <c r="K99">
        <v>0.33979999999999999</v>
      </c>
      <c r="L99">
        <v>1371.9438</v>
      </c>
      <c r="M99">
        <v>78</v>
      </c>
      <c r="N99">
        <v>8902.4421000000002</v>
      </c>
      <c r="O99">
        <v>-59.6053</v>
      </c>
      <c r="P99">
        <v>529.31949999999995</v>
      </c>
      <c r="Q99">
        <v>118.4663</v>
      </c>
      <c r="R99" s="1">
        <v>1.4700000000000001E-82</v>
      </c>
      <c r="S99">
        <v>6.7000000000000002E-3</v>
      </c>
      <c r="T99">
        <v>0.27679999999999999</v>
      </c>
      <c r="U99" s="1">
        <v>1.38E-5</v>
      </c>
      <c r="V99">
        <v>0.30259999999999998</v>
      </c>
      <c r="W99">
        <v>1290.7176999999999</v>
      </c>
      <c r="X99">
        <v>75</v>
      </c>
      <c r="Y99">
        <f t="shared" si="12"/>
        <v>154.22159999999894</v>
      </c>
      <c r="Z99">
        <f t="shared" si="13"/>
        <v>-27.715199999999996</v>
      </c>
      <c r="AA99">
        <f t="shared" si="14"/>
        <v>994.62559999999996</v>
      </c>
      <c r="AB99">
        <f t="shared" si="15"/>
        <v>27.715199999999996</v>
      </c>
      <c r="AC99">
        <f t="shared" si="16"/>
        <v>1.0199999999985301E-70</v>
      </c>
      <c r="AD99">
        <f t="shared" si="17"/>
        <v>1.8999999999999998E-3</v>
      </c>
      <c r="AE99">
        <f t="shared" si="18"/>
        <v>-0.19479999999999997</v>
      </c>
      <c r="AF99">
        <f t="shared" si="19"/>
        <v>5.450000000000001E-5</v>
      </c>
      <c r="AG99">
        <f t="shared" si="20"/>
        <v>3.7200000000000011E-2</v>
      </c>
      <c r="AH99">
        <f t="shared" si="21"/>
        <v>81.226100000000088</v>
      </c>
      <c r="AI99">
        <f t="shared" si="21"/>
        <v>3</v>
      </c>
    </row>
    <row r="100" spans="1:35" x14ac:dyDescent="0.25">
      <c r="A100">
        <v>85576</v>
      </c>
      <c r="B100" t="s">
        <v>86</v>
      </c>
      <c r="C100">
        <v>640.39639999999997</v>
      </c>
      <c r="D100">
        <v>8.9488000000000003</v>
      </c>
      <c r="E100">
        <v>199.01779999999999</v>
      </c>
      <c r="F100">
        <v>-5.7572999999999999</v>
      </c>
      <c r="G100" s="1">
        <v>3.41E-35</v>
      </c>
      <c r="H100">
        <v>1.4800000000000001E-2</v>
      </c>
      <c r="I100">
        <v>8.8400000000000006E-2</v>
      </c>
      <c r="J100">
        <v>0.23860000000000001</v>
      </c>
      <c r="K100">
        <v>0.53539999999999999</v>
      </c>
      <c r="L100">
        <v>1070.9050999999999</v>
      </c>
      <c r="M100">
        <v>78</v>
      </c>
      <c r="N100">
        <v>623.64530000000002</v>
      </c>
      <c r="O100">
        <v>12.245699999999999</v>
      </c>
      <c r="P100">
        <v>137.11510000000001</v>
      </c>
      <c r="Q100">
        <v>-9.0541999999999998</v>
      </c>
      <c r="R100" s="1">
        <v>2.96E-37</v>
      </c>
      <c r="S100">
        <v>2.0000000000000001E-4</v>
      </c>
      <c r="T100">
        <v>0.1835</v>
      </c>
      <c r="U100">
        <v>5.0200000000000002E-2</v>
      </c>
      <c r="V100">
        <v>0.5413</v>
      </c>
      <c r="W100">
        <v>1023.8612000000001</v>
      </c>
      <c r="X100">
        <v>75</v>
      </c>
      <c r="Y100">
        <f t="shared" si="12"/>
        <v>16.751099999999951</v>
      </c>
      <c r="Z100">
        <f t="shared" si="13"/>
        <v>-3.2968999999999991</v>
      </c>
      <c r="AA100">
        <f t="shared" si="14"/>
        <v>61.902699999999982</v>
      </c>
      <c r="AB100">
        <f t="shared" si="15"/>
        <v>3.2968999999999999</v>
      </c>
      <c r="AC100">
        <f t="shared" si="16"/>
        <v>3.3804000000000001E-35</v>
      </c>
      <c r="AD100">
        <f t="shared" si="17"/>
        <v>1.46E-2</v>
      </c>
      <c r="AE100">
        <f t="shared" si="18"/>
        <v>-9.509999999999999E-2</v>
      </c>
      <c r="AF100">
        <f t="shared" si="19"/>
        <v>0.18840000000000001</v>
      </c>
      <c r="AG100">
        <f t="shared" si="20"/>
        <v>-5.9000000000000163E-3</v>
      </c>
      <c r="AH100">
        <f t="shared" si="21"/>
        <v>47.043899999999894</v>
      </c>
      <c r="AI100">
        <f t="shared" si="21"/>
        <v>3</v>
      </c>
    </row>
    <row r="101" spans="1:35" x14ac:dyDescent="0.25">
      <c r="A101">
        <v>88356</v>
      </c>
      <c r="B101" t="s">
        <v>87</v>
      </c>
      <c r="C101">
        <v>1048.0751</v>
      </c>
      <c r="D101">
        <v>-24.750299999999999</v>
      </c>
      <c r="E101">
        <v>72.980599999999995</v>
      </c>
      <c r="F101">
        <v>23.2117</v>
      </c>
      <c r="G101" s="1">
        <v>5.6299999999999998E-46</v>
      </c>
      <c r="H101" s="1">
        <v>3.4599999999999998E-17</v>
      </c>
      <c r="I101">
        <v>0.1004</v>
      </c>
      <c r="J101" s="1">
        <v>1.7E-14</v>
      </c>
      <c r="K101">
        <v>0.87250000000000005</v>
      </c>
      <c r="L101">
        <v>957.95759999999996</v>
      </c>
      <c r="M101">
        <v>78</v>
      </c>
      <c r="N101">
        <v>1068.8610000000001</v>
      </c>
      <c r="O101">
        <v>-26.837900000000001</v>
      </c>
      <c r="P101">
        <v>44.746299999999998</v>
      </c>
      <c r="Q101">
        <v>25.299299999999999</v>
      </c>
      <c r="R101" s="1">
        <v>1.5899999999999999E-48</v>
      </c>
      <c r="S101" s="1">
        <v>2.72E-17</v>
      </c>
      <c r="T101">
        <v>0.3337</v>
      </c>
      <c r="U101" s="1">
        <v>8.1099999999999996E-15</v>
      </c>
      <c r="V101">
        <v>0.87719999999999998</v>
      </c>
      <c r="W101">
        <v>921.37369999999999</v>
      </c>
      <c r="X101">
        <v>75</v>
      </c>
      <c r="Y101">
        <f t="shared" si="12"/>
        <v>-20.785900000000083</v>
      </c>
      <c r="Z101">
        <f t="shared" si="13"/>
        <v>2.0876000000000019</v>
      </c>
      <c r="AA101">
        <f t="shared" si="14"/>
        <v>28.234299999999998</v>
      </c>
      <c r="AB101">
        <f t="shared" si="15"/>
        <v>-2.0875999999999983</v>
      </c>
      <c r="AC101">
        <f t="shared" si="16"/>
        <v>5.6141000000000001E-46</v>
      </c>
      <c r="AD101">
        <f t="shared" si="17"/>
        <v>7.3999999999999976E-18</v>
      </c>
      <c r="AE101">
        <f t="shared" si="18"/>
        <v>-0.23330000000000001</v>
      </c>
      <c r="AF101">
        <f t="shared" si="19"/>
        <v>8.8900000000000005E-15</v>
      </c>
      <c r="AG101">
        <f t="shared" si="20"/>
        <v>-4.6999999999999265E-3</v>
      </c>
      <c r="AH101">
        <f t="shared" si="21"/>
        <v>36.583899999999971</v>
      </c>
      <c r="AI101">
        <f t="shared" si="21"/>
        <v>3</v>
      </c>
    </row>
    <row r="102" spans="1:35" x14ac:dyDescent="0.25">
      <c r="A102">
        <v>23500</v>
      </c>
      <c r="B102" t="s">
        <v>88</v>
      </c>
      <c r="C102">
        <v>13.923400000000001</v>
      </c>
      <c r="D102">
        <v>-0.2671</v>
      </c>
      <c r="E102">
        <v>10.8346</v>
      </c>
      <c r="F102">
        <v>1.0086999999999999</v>
      </c>
      <c r="G102">
        <v>1.4E-3</v>
      </c>
      <c r="H102">
        <v>0.159</v>
      </c>
      <c r="I102">
        <v>0.104</v>
      </c>
      <c r="J102">
        <v>1E-3</v>
      </c>
      <c r="K102">
        <v>0.45</v>
      </c>
      <c r="L102">
        <v>654.34130000000005</v>
      </c>
      <c r="M102">
        <v>55</v>
      </c>
      <c r="N102">
        <v>13.8467</v>
      </c>
      <c r="O102">
        <v>-0.29339999999999999</v>
      </c>
      <c r="P102">
        <v>10.954800000000001</v>
      </c>
      <c r="Q102">
        <v>1.0350999999999999</v>
      </c>
      <c r="R102">
        <v>2.3999999999999998E-3</v>
      </c>
      <c r="S102">
        <v>0.1933</v>
      </c>
      <c r="T102">
        <v>0.1132</v>
      </c>
      <c r="U102">
        <v>1.6999999999999999E-3</v>
      </c>
      <c r="V102">
        <v>0.44500000000000001</v>
      </c>
      <c r="W102">
        <v>631.94880000000001</v>
      </c>
      <c r="X102">
        <v>53</v>
      </c>
      <c r="Y102">
        <f t="shared" si="12"/>
        <v>7.6700000000000657E-2</v>
      </c>
      <c r="Z102">
        <f t="shared" si="13"/>
        <v>2.629999999999999E-2</v>
      </c>
      <c r="AA102">
        <f t="shared" si="14"/>
        <v>-0.12020000000000053</v>
      </c>
      <c r="AB102">
        <f t="shared" si="15"/>
        <v>-2.6399999999999979E-2</v>
      </c>
      <c r="AC102">
        <f t="shared" si="16"/>
        <v>-9.999999999999998E-4</v>
      </c>
      <c r="AD102">
        <f t="shared" si="17"/>
        <v>-3.4299999999999997E-2</v>
      </c>
      <c r="AE102">
        <f t="shared" si="18"/>
        <v>-9.1999999999999998E-3</v>
      </c>
      <c r="AF102">
        <f t="shared" si="19"/>
        <v>-6.9999999999999988E-4</v>
      </c>
      <c r="AG102">
        <f t="shared" si="20"/>
        <v>5.0000000000000044E-3</v>
      </c>
      <c r="AH102">
        <f t="shared" si="21"/>
        <v>22.392500000000041</v>
      </c>
      <c r="AI102">
        <f t="shared" si="21"/>
        <v>2</v>
      </c>
    </row>
    <row r="103" spans="1:35" x14ac:dyDescent="0.25">
      <c r="A103">
        <v>85730</v>
      </c>
      <c r="B103" t="s">
        <v>89</v>
      </c>
      <c r="C103">
        <v>189253.04800000001</v>
      </c>
      <c r="D103">
        <v>1004.9131</v>
      </c>
      <c r="E103">
        <v>19954.325799999999</v>
      </c>
      <c r="F103">
        <v>-1757.9862000000001</v>
      </c>
      <c r="G103">
        <v>0</v>
      </c>
      <c r="H103">
        <v>7.4999999999999997E-3</v>
      </c>
      <c r="I103">
        <v>0.11310000000000001</v>
      </c>
      <c r="J103">
        <v>1E-4</v>
      </c>
      <c r="K103">
        <v>0.35470000000000002</v>
      </c>
      <c r="L103">
        <v>1779.5725</v>
      </c>
      <c r="M103">
        <v>78</v>
      </c>
      <c r="N103">
        <v>184580.0232</v>
      </c>
      <c r="O103">
        <v>1646.6614</v>
      </c>
      <c r="P103">
        <v>7106.1444000000001</v>
      </c>
      <c r="Q103">
        <v>-2399.7345</v>
      </c>
      <c r="R103">
        <v>0</v>
      </c>
      <c r="S103" s="1">
        <v>1.02E-18</v>
      </c>
      <c r="T103">
        <v>0.37169999999999997</v>
      </c>
      <c r="U103" s="1">
        <v>6.4799999999999999E-14</v>
      </c>
      <c r="V103">
        <v>0.50870000000000004</v>
      </c>
      <c r="W103">
        <v>1670.9603999999999</v>
      </c>
      <c r="X103">
        <v>75</v>
      </c>
      <c r="Y103">
        <f t="shared" si="12"/>
        <v>4673.0248000000138</v>
      </c>
      <c r="Z103">
        <f t="shared" si="13"/>
        <v>-641.74829999999997</v>
      </c>
      <c r="AA103">
        <f t="shared" si="14"/>
        <v>12848.181399999998</v>
      </c>
      <c r="AB103">
        <f t="shared" si="15"/>
        <v>641.74829999999997</v>
      </c>
      <c r="AC103">
        <f t="shared" si="16"/>
        <v>0</v>
      </c>
      <c r="AD103">
        <f t="shared" si="17"/>
        <v>7.4999999999999989E-3</v>
      </c>
      <c r="AE103">
        <f t="shared" si="18"/>
        <v>-0.25859999999999994</v>
      </c>
      <c r="AF103">
        <f t="shared" si="19"/>
        <v>9.9999999935200006E-5</v>
      </c>
      <c r="AG103">
        <f t="shared" si="20"/>
        <v>-0.15400000000000003</v>
      </c>
      <c r="AH103">
        <f t="shared" si="21"/>
        <v>108.61210000000005</v>
      </c>
      <c r="AI103">
        <f t="shared" si="21"/>
        <v>3</v>
      </c>
    </row>
    <row r="104" spans="1:35" x14ac:dyDescent="0.25">
      <c r="A104">
        <v>86355</v>
      </c>
      <c r="B104" t="s">
        <v>90</v>
      </c>
      <c r="C104">
        <v>3009.6936999999998</v>
      </c>
      <c r="D104">
        <v>29.217500000000001</v>
      </c>
      <c r="E104">
        <v>451.77030000000002</v>
      </c>
      <c r="F104">
        <v>-12.4536</v>
      </c>
      <c r="G104" s="1">
        <v>4.3699999999999997E-96</v>
      </c>
      <c r="H104">
        <v>2.8E-3</v>
      </c>
      <c r="I104">
        <v>0.12559999999999999</v>
      </c>
      <c r="J104">
        <v>0.2979</v>
      </c>
      <c r="K104">
        <v>0.61860000000000004</v>
      </c>
      <c r="L104">
        <v>1224.6304</v>
      </c>
      <c r="M104">
        <v>78</v>
      </c>
      <c r="N104">
        <v>2867.4528</v>
      </c>
      <c r="O104">
        <v>46.6554</v>
      </c>
      <c r="P104">
        <v>123.6506</v>
      </c>
      <c r="Q104">
        <v>-29.891500000000001</v>
      </c>
      <c r="R104" s="1">
        <v>1.21E-105</v>
      </c>
      <c r="S104" s="1">
        <v>6.1599999999999996E-8</v>
      </c>
      <c r="T104">
        <v>0.58379999999999999</v>
      </c>
      <c r="U104">
        <v>7.7000000000000002E-3</v>
      </c>
      <c r="V104">
        <v>0.6915</v>
      </c>
      <c r="W104">
        <v>1151.1600000000001</v>
      </c>
      <c r="X104">
        <v>75</v>
      </c>
      <c r="Y104">
        <f t="shared" si="12"/>
        <v>142.24089999999978</v>
      </c>
      <c r="Z104">
        <f t="shared" si="13"/>
        <v>-17.437899999999999</v>
      </c>
      <c r="AA104">
        <f t="shared" si="14"/>
        <v>328.11970000000002</v>
      </c>
      <c r="AB104">
        <f t="shared" si="15"/>
        <v>17.437899999999999</v>
      </c>
      <c r="AC104">
        <f t="shared" si="16"/>
        <v>4.3699999987899997E-96</v>
      </c>
      <c r="AD104">
        <f t="shared" si="17"/>
        <v>2.7999383999999998E-3</v>
      </c>
      <c r="AE104">
        <f t="shared" si="18"/>
        <v>-0.4582</v>
      </c>
      <c r="AF104">
        <f t="shared" si="19"/>
        <v>0.29020000000000001</v>
      </c>
      <c r="AG104">
        <f t="shared" si="20"/>
        <v>-7.2899999999999965E-2</v>
      </c>
      <c r="AH104">
        <f t="shared" si="21"/>
        <v>73.470399999999927</v>
      </c>
      <c r="AI104">
        <f t="shared" si="21"/>
        <v>3</v>
      </c>
    </row>
    <row r="105" spans="1:35" x14ac:dyDescent="0.25">
      <c r="A105">
        <v>29826</v>
      </c>
      <c r="B105" t="s">
        <v>91</v>
      </c>
      <c r="C105">
        <v>13.0405</v>
      </c>
      <c r="D105">
        <v>0.89770000000000005</v>
      </c>
      <c r="E105">
        <v>29.5533</v>
      </c>
      <c r="F105">
        <v>-2.4674999999999998</v>
      </c>
      <c r="G105">
        <v>0.10879999999999999</v>
      </c>
      <c r="H105">
        <v>7.9299999999999995E-2</v>
      </c>
      <c r="I105">
        <v>0.1273</v>
      </c>
      <c r="J105">
        <v>5.9999999999999995E-4</v>
      </c>
      <c r="K105">
        <v>0.2109</v>
      </c>
      <c r="L105">
        <v>777.81010000000003</v>
      </c>
      <c r="M105">
        <v>60</v>
      </c>
      <c r="N105">
        <v>11.766500000000001</v>
      </c>
      <c r="O105">
        <v>1.1660999999999999</v>
      </c>
      <c r="P105">
        <v>24.930800000000001</v>
      </c>
      <c r="Q105">
        <v>-2.7359</v>
      </c>
      <c r="R105">
        <v>0.16639999999999999</v>
      </c>
      <c r="S105">
        <v>3.4700000000000002E-2</v>
      </c>
      <c r="T105">
        <v>0.1938</v>
      </c>
      <c r="U105">
        <v>2.0000000000000001E-4</v>
      </c>
      <c r="V105">
        <v>0.218</v>
      </c>
      <c r="W105">
        <v>748.72619999999995</v>
      </c>
      <c r="X105">
        <v>59</v>
      </c>
      <c r="Y105">
        <f t="shared" si="12"/>
        <v>1.2739999999999991</v>
      </c>
      <c r="Z105">
        <f t="shared" si="13"/>
        <v>-0.26839999999999986</v>
      </c>
      <c r="AA105">
        <f t="shared" si="14"/>
        <v>4.6224999999999987</v>
      </c>
      <c r="AB105">
        <f t="shared" si="15"/>
        <v>0.26840000000000019</v>
      </c>
      <c r="AC105">
        <f t="shared" si="16"/>
        <v>-5.7599999999999998E-2</v>
      </c>
      <c r="AD105">
        <f t="shared" si="17"/>
        <v>4.4599999999999994E-2</v>
      </c>
      <c r="AE105">
        <f t="shared" si="18"/>
        <v>-6.6500000000000004E-2</v>
      </c>
      <c r="AF105">
        <f t="shared" si="19"/>
        <v>3.9999999999999996E-4</v>
      </c>
      <c r="AG105">
        <f t="shared" si="20"/>
        <v>-7.0999999999999952E-3</v>
      </c>
      <c r="AH105">
        <f t="shared" si="21"/>
        <v>29.083900000000085</v>
      </c>
      <c r="AI105">
        <f t="shared" si="21"/>
        <v>1</v>
      </c>
    </row>
    <row r="106" spans="1:35" x14ac:dyDescent="0.25">
      <c r="A106">
        <v>11104</v>
      </c>
      <c r="B106" t="s">
        <v>92</v>
      </c>
      <c r="C106">
        <v>1314.7166999999999</v>
      </c>
      <c r="D106">
        <v>-14.047800000000001</v>
      </c>
      <c r="E106">
        <v>215.1557</v>
      </c>
      <c r="F106">
        <v>13.522399999999999</v>
      </c>
      <c r="G106" s="1">
        <v>4.6399999999999999E-111</v>
      </c>
      <c r="H106">
        <v>2.4299999999999999E-2</v>
      </c>
      <c r="I106">
        <v>0.1573</v>
      </c>
      <c r="J106">
        <v>5.2900000000000003E-2</v>
      </c>
      <c r="K106">
        <v>6.1600000000000002E-2</v>
      </c>
      <c r="L106">
        <v>929.19410000000005</v>
      </c>
      <c r="M106">
        <v>66</v>
      </c>
      <c r="N106">
        <v>1322.329</v>
      </c>
      <c r="O106">
        <v>-9.0234000000000005</v>
      </c>
      <c r="P106">
        <v>64.910899999999998</v>
      </c>
      <c r="Q106">
        <v>8.4979999999999993</v>
      </c>
      <c r="R106" s="1">
        <v>8.2300000000000001E-134</v>
      </c>
      <c r="S106">
        <v>3.49E-2</v>
      </c>
      <c r="T106">
        <v>0.54930000000000001</v>
      </c>
      <c r="U106">
        <v>0.1104</v>
      </c>
      <c r="V106">
        <v>2.7300000000000001E-2</v>
      </c>
      <c r="W106">
        <v>873.18399999999997</v>
      </c>
      <c r="X106">
        <v>63</v>
      </c>
      <c r="Y106">
        <f t="shared" si="12"/>
        <v>-7.6123000000000047</v>
      </c>
      <c r="Z106">
        <f t="shared" si="13"/>
        <v>-5.0244</v>
      </c>
      <c r="AA106">
        <f t="shared" si="14"/>
        <v>150.2448</v>
      </c>
      <c r="AB106">
        <f t="shared" si="15"/>
        <v>5.0244</v>
      </c>
      <c r="AC106">
        <f t="shared" si="16"/>
        <v>4.6399999999999999E-111</v>
      </c>
      <c r="AD106">
        <f t="shared" si="17"/>
        <v>-1.0600000000000002E-2</v>
      </c>
      <c r="AE106">
        <f t="shared" si="18"/>
        <v>-0.39200000000000002</v>
      </c>
      <c r="AF106">
        <f t="shared" si="19"/>
        <v>-5.7499999999999996E-2</v>
      </c>
      <c r="AG106">
        <f t="shared" si="20"/>
        <v>3.4299999999999997E-2</v>
      </c>
      <c r="AH106">
        <f t="shared" si="21"/>
        <v>56.010100000000079</v>
      </c>
      <c r="AI106">
        <f t="shared" si="21"/>
        <v>3</v>
      </c>
    </row>
    <row r="107" spans="1:35" x14ac:dyDescent="0.25">
      <c r="A107">
        <v>75565</v>
      </c>
      <c r="B107" t="s">
        <v>93</v>
      </c>
      <c r="C107">
        <v>127.8904</v>
      </c>
      <c r="D107">
        <v>-7.3099999999999998E-2</v>
      </c>
      <c r="E107">
        <v>43.842399999999998</v>
      </c>
      <c r="F107">
        <v>3.5966</v>
      </c>
      <c r="G107" s="1">
        <v>4.4099999999999998E-17</v>
      </c>
      <c r="H107">
        <v>0.9365</v>
      </c>
      <c r="I107">
        <v>0.17280000000000001</v>
      </c>
      <c r="J107">
        <v>3.7000000000000002E-3</v>
      </c>
      <c r="K107">
        <v>0.54410000000000003</v>
      </c>
      <c r="L107">
        <v>880.43079999999998</v>
      </c>
      <c r="M107">
        <v>78</v>
      </c>
      <c r="N107">
        <v>122.1515</v>
      </c>
      <c r="O107">
        <v>0.85799999999999998</v>
      </c>
      <c r="P107">
        <v>19.568200000000001</v>
      </c>
      <c r="Q107">
        <v>2.6655000000000002</v>
      </c>
      <c r="R107" s="1">
        <v>3.7399999999999999E-19</v>
      </c>
      <c r="S107">
        <v>0.2515</v>
      </c>
      <c r="T107">
        <v>0.48099999999999998</v>
      </c>
      <c r="U107">
        <v>1.7899999999999999E-2</v>
      </c>
      <c r="V107">
        <v>0.53910000000000002</v>
      </c>
      <c r="W107">
        <v>840.04039999999998</v>
      </c>
      <c r="X107">
        <v>75</v>
      </c>
      <c r="Y107">
        <f t="shared" si="12"/>
        <v>5.738900000000001</v>
      </c>
      <c r="Z107">
        <f t="shared" si="13"/>
        <v>-0.93110000000000004</v>
      </c>
      <c r="AA107">
        <f t="shared" si="14"/>
        <v>24.274199999999997</v>
      </c>
      <c r="AB107">
        <f t="shared" si="15"/>
        <v>0.93109999999999982</v>
      </c>
      <c r="AC107">
        <f t="shared" si="16"/>
        <v>4.3725999999999997E-17</v>
      </c>
      <c r="AD107">
        <f t="shared" si="17"/>
        <v>0.68500000000000005</v>
      </c>
      <c r="AE107">
        <f t="shared" si="18"/>
        <v>-0.30819999999999997</v>
      </c>
      <c r="AF107">
        <f t="shared" si="19"/>
        <v>-1.4199999999999999E-2</v>
      </c>
      <c r="AG107">
        <f t="shared" si="20"/>
        <v>5.0000000000000044E-3</v>
      </c>
      <c r="AH107">
        <f t="shared" si="21"/>
        <v>40.3904</v>
      </c>
      <c r="AI107">
        <f t="shared" si="21"/>
        <v>3</v>
      </c>
    </row>
    <row r="108" spans="1:35" x14ac:dyDescent="0.25">
      <c r="A108">
        <v>96132</v>
      </c>
      <c r="B108" t="s">
        <v>94</v>
      </c>
      <c r="C108">
        <v>3461.5666999999999</v>
      </c>
      <c r="D108">
        <v>6.8348000000000004</v>
      </c>
      <c r="E108">
        <v>396.447</v>
      </c>
      <c r="F108">
        <v>113.09990000000001</v>
      </c>
      <c r="G108" s="1">
        <v>7.5700000000000003E-55</v>
      </c>
      <c r="H108">
        <v>0.66569999999999996</v>
      </c>
      <c r="I108">
        <v>0.18790000000000001</v>
      </c>
      <c r="J108" s="1">
        <v>7.9900000000000003E-11</v>
      </c>
      <c r="K108">
        <v>0.89539999999999997</v>
      </c>
      <c r="L108">
        <v>1056.8860999999999</v>
      </c>
      <c r="M108">
        <v>66</v>
      </c>
      <c r="N108">
        <v>3413.7229000000002</v>
      </c>
      <c r="O108">
        <v>26.103899999999999</v>
      </c>
      <c r="P108">
        <v>79.412800000000004</v>
      </c>
      <c r="Q108">
        <v>93.830799999999996</v>
      </c>
      <c r="R108" s="1">
        <v>7.9299999999999997E-56</v>
      </c>
      <c r="S108">
        <v>0.1275</v>
      </c>
      <c r="T108">
        <v>0.75960000000000005</v>
      </c>
      <c r="U108" s="1">
        <v>5.3099999999999998E-7</v>
      </c>
      <c r="V108">
        <v>0.89949999999999997</v>
      </c>
      <c r="W108">
        <v>1003.0632000000001</v>
      </c>
      <c r="X108">
        <v>63</v>
      </c>
      <c r="Y108">
        <f t="shared" si="12"/>
        <v>47.843799999999646</v>
      </c>
      <c r="Z108">
        <f t="shared" si="13"/>
        <v>-19.269099999999998</v>
      </c>
      <c r="AA108">
        <f t="shared" si="14"/>
        <v>317.0342</v>
      </c>
      <c r="AB108">
        <f t="shared" si="15"/>
        <v>19.269100000000009</v>
      </c>
      <c r="AC108">
        <f t="shared" si="16"/>
        <v>6.7769999999999999E-55</v>
      </c>
      <c r="AD108">
        <f t="shared" si="17"/>
        <v>0.53820000000000001</v>
      </c>
      <c r="AE108">
        <f t="shared" si="18"/>
        <v>-0.5717000000000001</v>
      </c>
      <c r="AF108">
        <f t="shared" si="19"/>
        <v>-5.3092009999999993E-7</v>
      </c>
      <c r="AG108">
        <f t="shared" si="20"/>
        <v>-4.0999999999999925E-3</v>
      </c>
      <c r="AH108">
        <f t="shared" si="21"/>
        <v>53.82289999999989</v>
      </c>
      <c r="AI108">
        <f t="shared" si="21"/>
        <v>3</v>
      </c>
    </row>
    <row r="109" spans="1:35" x14ac:dyDescent="0.25">
      <c r="A109">
        <v>85244</v>
      </c>
      <c r="B109" t="s">
        <v>27</v>
      </c>
      <c r="C109">
        <v>73.965500000000006</v>
      </c>
      <c r="D109">
        <v>0.43369999999999997</v>
      </c>
      <c r="E109">
        <v>19.130800000000001</v>
      </c>
      <c r="F109">
        <v>1.8203</v>
      </c>
      <c r="G109" s="1">
        <v>1.54E-20</v>
      </c>
      <c r="H109">
        <v>0.38519999999999999</v>
      </c>
      <c r="I109">
        <v>0.21160000000000001</v>
      </c>
      <c r="J109">
        <v>2.3E-3</v>
      </c>
      <c r="K109">
        <v>0.70809999999999995</v>
      </c>
      <c r="L109">
        <v>755.01350000000002</v>
      </c>
      <c r="M109">
        <v>77</v>
      </c>
      <c r="N109">
        <v>70.306600000000003</v>
      </c>
      <c r="O109">
        <v>1.0017</v>
      </c>
      <c r="P109">
        <v>5.9164000000000003</v>
      </c>
      <c r="Q109">
        <v>1.2524</v>
      </c>
      <c r="R109" s="1">
        <v>3.6599999999999998E-18</v>
      </c>
      <c r="S109">
        <v>6.1999999999999998E-3</v>
      </c>
      <c r="T109">
        <v>0.59470000000000001</v>
      </c>
      <c r="U109">
        <v>1.0699999999999999E-2</v>
      </c>
      <c r="V109">
        <v>0.73399999999999999</v>
      </c>
      <c r="W109">
        <v>710.95150000000001</v>
      </c>
      <c r="X109">
        <v>75</v>
      </c>
      <c r="Y109">
        <f t="shared" si="12"/>
        <v>3.6589000000000027</v>
      </c>
      <c r="Z109">
        <f t="shared" si="13"/>
        <v>-0.56800000000000006</v>
      </c>
      <c r="AA109">
        <f t="shared" si="14"/>
        <v>13.214400000000001</v>
      </c>
      <c r="AB109">
        <f t="shared" si="15"/>
        <v>0.56790000000000007</v>
      </c>
      <c r="AC109">
        <f t="shared" si="16"/>
        <v>-3.6445999999999999E-18</v>
      </c>
      <c r="AD109">
        <f t="shared" si="17"/>
        <v>0.379</v>
      </c>
      <c r="AE109">
        <f t="shared" si="18"/>
        <v>-0.3831</v>
      </c>
      <c r="AF109">
        <f t="shared" si="19"/>
        <v>-8.3999999999999995E-3</v>
      </c>
      <c r="AG109">
        <f t="shared" si="20"/>
        <v>-2.5900000000000034E-2</v>
      </c>
      <c r="AH109">
        <f t="shared" si="21"/>
        <v>44.062000000000012</v>
      </c>
      <c r="AI109">
        <f t="shared" si="21"/>
        <v>2</v>
      </c>
    </row>
    <row r="110" spans="1:35" x14ac:dyDescent="0.25">
      <c r="A110">
        <v>86790</v>
      </c>
      <c r="B110" t="s">
        <v>95</v>
      </c>
      <c r="C110">
        <v>581.6952</v>
      </c>
      <c r="D110">
        <v>13.8873</v>
      </c>
      <c r="E110">
        <v>-214.27539999999999</v>
      </c>
      <c r="F110">
        <v>-9.9425000000000008</v>
      </c>
      <c r="G110" s="1">
        <v>6.8299999999999998E-9</v>
      </c>
      <c r="H110">
        <v>3.8899999999999997E-2</v>
      </c>
      <c r="I110">
        <v>0.2233</v>
      </c>
      <c r="J110">
        <v>0.187</v>
      </c>
      <c r="K110">
        <v>0.2135</v>
      </c>
      <c r="L110">
        <v>1085.3638000000001</v>
      </c>
      <c r="M110">
        <v>78</v>
      </c>
      <c r="N110">
        <v>554.44560000000001</v>
      </c>
      <c r="O110">
        <v>19.362300000000001</v>
      </c>
      <c r="P110">
        <v>-320.56529999999998</v>
      </c>
      <c r="Q110">
        <v>-15.4176</v>
      </c>
      <c r="R110" s="1">
        <v>4.1999999999999999E-8</v>
      </c>
      <c r="S110">
        <v>1.2999999999999999E-3</v>
      </c>
      <c r="T110">
        <v>2.41E-2</v>
      </c>
      <c r="U110">
        <v>2.5700000000000001E-2</v>
      </c>
      <c r="V110">
        <v>0.30609999999999998</v>
      </c>
      <c r="W110">
        <v>1024.6011000000001</v>
      </c>
      <c r="X110">
        <v>75</v>
      </c>
      <c r="Y110">
        <f t="shared" si="12"/>
        <v>27.249599999999987</v>
      </c>
      <c r="Z110">
        <f t="shared" si="13"/>
        <v>-5.4750000000000014</v>
      </c>
      <c r="AA110">
        <f t="shared" si="14"/>
        <v>106.28989999999999</v>
      </c>
      <c r="AB110">
        <f t="shared" si="15"/>
        <v>5.4750999999999994</v>
      </c>
      <c r="AC110">
        <f t="shared" si="16"/>
        <v>-3.5169999999999997E-8</v>
      </c>
      <c r="AD110">
        <f t="shared" si="17"/>
        <v>3.7599999999999995E-2</v>
      </c>
      <c r="AE110">
        <f t="shared" si="18"/>
        <v>0.19919999999999999</v>
      </c>
      <c r="AF110">
        <f t="shared" si="19"/>
        <v>0.1613</v>
      </c>
      <c r="AG110">
        <f t="shared" si="20"/>
        <v>-9.2599999999999988E-2</v>
      </c>
      <c r="AH110">
        <f t="shared" si="21"/>
        <v>60.762699999999995</v>
      </c>
      <c r="AI110">
        <f t="shared" si="21"/>
        <v>3</v>
      </c>
    </row>
    <row r="111" spans="1:35" x14ac:dyDescent="0.25">
      <c r="A111">
        <v>92553</v>
      </c>
      <c r="B111" t="s">
        <v>96</v>
      </c>
      <c r="C111">
        <v>1871.7431999999999</v>
      </c>
      <c r="D111">
        <v>5.5575000000000001</v>
      </c>
      <c r="E111">
        <v>392.24029999999999</v>
      </c>
      <c r="F111">
        <v>10.092700000000001</v>
      </c>
      <c r="G111" s="1">
        <v>3.6099999999999996E-52</v>
      </c>
      <c r="H111">
        <v>0.58779999999999999</v>
      </c>
      <c r="I111">
        <v>0.2273</v>
      </c>
      <c r="J111">
        <v>0.43309999999999998</v>
      </c>
      <c r="K111">
        <v>0.38269999999999998</v>
      </c>
      <c r="L111">
        <v>1224.325</v>
      </c>
      <c r="M111">
        <v>78</v>
      </c>
      <c r="N111">
        <v>1785.5597</v>
      </c>
      <c r="O111">
        <v>18.7624</v>
      </c>
      <c r="P111">
        <v>72.541700000000006</v>
      </c>
      <c r="Q111">
        <v>-3.1122000000000001</v>
      </c>
      <c r="R111" s="1">
        <v>5.2200000000000001E-64</v>
      </c>
      <c r="S111">
        <v>1.2999999999999999E-3</v>
      </c>
      <c r="T111">
        <v>0.72940000000000005</v>
      </c>
      <c r="U111">
        <v>0.75260000000000005</v>
      </c>
      <c r="V111">
        <v>0.40620000000000001</v>
      </c>
      <c r="W111">
        <v>1156.4117000000001</v>
      </c>
      <c r="X111">
        <v>75</v>
      </c>
      <c r="Y111">
        <f t="shared" si="12"/>
        <v>86.183499999999867</v>
      </c>
      <c r="Z111">
        <f t="shared" si="13"/>
        <v>-13.204899999999999</v>
      </c>
      <c r="AA111">
        <f t="shared" si="14"/>
        <v>319.6986</v>
      </c>
      <c r="AB111">
        <f t="shared" si="15"/>
        <v>13.2049</v>
      </c>
      <c r="AC111">
        <f t="shared" si="16"/>
        <v>3.6099999999947793E-52</v>
      </c>
      <c r="AD111">
        <f t="shared" si="17"/>
        <v>0.58650000000000002</v>
      </c>
      <c r="AE111">
        <f t="shared" si="18"/>
        <v>-0.50209999999999999</v>
      </c>
      <c r="AF111">
        <f t="shared" si="19"/>
        <v>-0.31950000000000006</v>
      </c>
      <c r="AG111">
        <f t="shared" si="20"/>
        <v>-2.3500000000000021E-2</v>
      </c>
      <c r="AH111">
        <f t="shared" si="21"/>
        <v>67.913299999999936</v>
      </c>
      <c r="AI111">
        <f t="shared" si="21"/>
        <v>3</v>
      </c>
    </row>
    <row r="112" spans="1:35" x14ac:dyDescent="0.25">
      <c r="A112">
        <v>93040</v>
      </c>
      <c r="B112" t="s">
        <v>33</v>
      </c>
      <c r="C112">
        <v>3443.7793000000001</v>
      </c>
      <c r="D112">
        <v>-17.335000000000001</v>
      </c>
      <c r="E112">
        <v>346.04349999999999</v>
      </c>
      <c r="F112">
        <v>21.247399999999999</v>
      </c>
      <c r="G112" s="1">
        <v>4.4600000000000003E-134</v>
      </c>
      <c r="H112">
        <v>0.1106</v>
      </c>
      <c r="I112">
        <v>0.25130000000000002</v>
      </c>
      <c r="J112">
        <v>8.48E-2</v>
      </c>
      <c r="K112">
        <v>7.2400000000000006E-2</v>
      </c>
      <c r="L112">
        <v>1210.8988999999999</v>
      </c>
      <c r="M112">
        <v>78</v>
      </c>
      <c r="N112">
        <v>3394.7878999999998</v>
      </c>
      <c r="O112">
        <v>-8.0625</v>
      </c>
      <c r="P112">
        <v>46.309699999999999</v>
      </c>
      <c r="Q112">
        <v>11.9749</v>
      </c>
      <c r="R112" s="1">
        <v>2.66E-155</v>
      </c>
      <c r="S112">
        <v>0.2828</v>
      </c>
      <c r="T112">
        <v>0.80920000000000003</v>
      </c>
      <c r="U112">
        <v>0.20760000000000001</v>
      </c>
      <c r="V112">
        <v>1.9800000000000002E-2</v>
      </c>
      <c r="W112">
        <v>1141.9749999999999</v>
      </c>
      <c r="X112">
        <v>75</v>
      </c>
      <c r="Y112">
        <f t="shared" si="12"/>
        <v>48.99140000000034</v>
      </c>
      <c r="Z112">
        <f t="shared" si="13"/>
        <v>-9.2725000000000009</v>
      </c>
      <c r="AA112">
        <f t="shared" si="14"/>
        <v>299.73379999999997</v>
      </c>
      <c r="AB112">
        <f t="shared" si="15"/>
        <v>9.2724999999999991</v>
      </c>
      <c r="AC112">
        <f t="shared" si="16"/>
        <v>4.4600000000000003E-134</v>
      </c>
      <c r="AD112">
        <f t="shared" si="17"/>
        <v>-0.17219999999999999</v>
      </c>
      <c r="AE112">
        <f t="shared" si="18"/>
        <v>-0.55790000000000006</v>
      </c>
      <c r="AF112">
        <f t="shared" si="19"/>
        <v>-0.12280000000000001</v>
      </c>
      <c r="AG112">
        <f t="shared" si="20"/>
        <v>5.2600000000000008E-2</v>
      </c>
      <c r="AH112">
        <f t="shared" si="21"/>
        <v>68.923900000000003</v>
      </c>
      <c r="AI112">
        <f t="shared" si="21"/>
        <v>3</v>
      </c>
    </row>
    <row r="113" spans="1:35" x14ac:dyDescent="0.25">
      <c r="A113">
        <v>27786</v>
      </c>
      <c r="B113" t="s">
        <v>97</v>
      </c>
      <c r="C113">
        <v>67.708699999999993</v>
      </c>
      <c r="D113">
        <v>-1.2802</v>
      </c>
      <c r="E113">
        <v>16.060400000000001</v>
      </c>
      <c r="F113">
        <v>2.0870000000000002</v>
      </c>
      <c r="G113" s="1">
        <v>4.0200000000000003E-7</v>
      </c>
      <c r="H113">
        <v>2.7799999999999998E-2</v>
      </c>
      <c r="I113">
        <v>0.25940000000000002</v>
      </c>
      <c r="J113">
        <v>3.5000000000000001E-3</v>
      </c>
      <c r="K113">
        <v>0.14549999999999999</v>
      </c>
      <c r="L113">
        <v>774.28409999999997</v>
      </c>
      <c r="M113">
        <v>70</v>
      </c>
      <c r="N113">
        <v>65.818200000000004</v>
      </c>
      <c r="O113">
        <v>-1.1534</v>
      </c>
      <c r="P113">
        <v>10.053699999999999</v>
      </c>
      <c r="Q113">
        <v>1.9601999999999999</v>
      </c>
      <c r="R113" s="1">
        <v>2.3700000000000002E-6</v>
      </c>
      <c r="S113">
        <v>0.1087</v>
      </c>
      <c r="T113">
        <v>0.53200000000000003</v>
      </c>
      <c r="U113">
        <v>1.84E-2</v>
      </c>
      <c r="V113">
        <v>0.1116</v>
      </c>
      <c r="W113">
        <v>748.60670000000005</v>
      </c>
      <c r="X113">
        <v>67</v>
      </c>
      <c r="Y113">
        <f t="shared" si="12"/>
        <v>1.8904999999999887</v>
      </c>
      <c r="Z113">
        <f t="shared" si="13"/>
        <v>-0.12680000000000002</v>
      </c>
      <c r="AA113">
        <f t="shared" si="14"/>
        <v>6.0067000000000021</v>
      </c>
      <c r="AB113">
        <f t="shared" si="15"/>
        <v>0.12680000000000025</v>
      </c>
      <c r="AC113">
        <f t="shared" si="16"/>
        <v>-1.968E-6</v>
      </c>
      <c r="AD113">
        <f t="shared" si="17"/>
        <v>-8.09E-2</v>
      </c>
      <c r="AE113">
        <f t="shared" si="18"/>
        <v>-0.27260000000000001</v>
      </c>
      <c r="AF113">
        <f t="shared" si="19"/>
        <v>-1.49E-2</v>
      </c>
      <c r="AG113">
        <f t="shared" si="20"/>
        <v>3.3899999999999986E-2</v>
      </c>
      <c r="AH113">
        <f t="shared" si="21"/>
        <v>25.677399999999921</v>
      </c>
      <c r="AI113">
        <f t="shared" si="21"/>
        <v>3</v>
      </c>
    </row>
    <row r="114" spans="1:35" x14ac:dyDescent="0.25">
      <c r="A114">
        <v>86360</v>
      </c>
      <c r="B114" t="s">
        <v>68</v>
      </c>
      <c r="C114">
        <v>16766.6937</v>
      </c>
      <c r="D114">
        <v>72.650800000000004</v>
      </c>
      <c r="E114">
        <v>1411.1786</v>
      </c>
      <c r="F114">
        <v>-93.5715</v>
      </c>
      <c r="G114" s="1">
        <v>1.8E-190</v>
      </c>
      <c r="H114">
        <v>0.10009999999999999</v>
      </c>
      <c r="I114">
        <v>0.27350000000000002</v>
      </c>
      <c r="J114">
        <v>5.2999999999999999E-2</v>
      </c>
      <c r="K114">
        <v>0.2291</v>
      </c>
      <c r="L114">
        <v>1444.5287000000001</v>
      </c>
      <c r="M114">
        <v>78</v>
      </c>
      <c r="N114">
        <v>16211.1052</v>
      </c>
      <c r="O114">
        <v>145.8476</v>
      </c>
      <c r="P114">
        <v>-157.57660000000001</v>
      </c>
      <c r="Q114">
        <v>-166.76830000000001</v>
      </c>
      <c r="R114" s="1">
        <v>2.01E-211</v>
      </c>
      <c r="S114" s="1">
        <v>3.5300000000000001E-6</v>
      </c>
      <c r="T114">
        <v>0.84140000000000004</v>
      </c>
      <c r="U114" s="1">
        <v>7.9300000000000003E-6</v>
      </c>
      <c r="V114">
        <v>0.34289999999999998</v>
      </c>
      <c r="W114">
        <v>1351.1672000000001</v>
      </c>
      <c r="X114">
        <v>75</v>
      </c>
      <c r="Y114">
        <f t="shared" si="12"/>
        <v>555.58849999999984</v>
      </c>
      <c r="Z114">
        <f t="shared" si="13"/>
        <v>-73.196799999999996</v>
      </c>
      <c r="AA114">
        <f t="shared" si="14"/>
        <v>1568.7552000000001</v>
      </c>
      <c r="AB114">
        <f t="shared" si="15"/>
        <v>73.19680000000001</v>
      </c>
      <c r="AC114">
        <f t="shared" si="16"/>
        <v>1.8E-190</v>
      </c>
      <c r="AD114">
        <f t="shared" si="17"/>
        <v>0.10009646999999999</v>
      </c>
      <c r="AE114">
        <f t="shared" si="18"/>
        <v>-0.56790000000000007</v>
      </c>
      <c r="AF114">
        <f t="shared" si="19"/>
        <v>5.2992069999999995E-2</v>
      </c>
      <c r="AG114">
        <f t="shared" si="20"/>
        <v>-0.11379999999999998</v>
      </c>
      <c r="AH114">
        <f t="shared" si="21"/>
        <v>93.361499999999978</v>
      </c>
      <c r="AI114">
        <f t="shared" si="21"/>
        <v>3</v>
      </c>
    </row>
    <row r="115" spans="1:35" x14ac:dyDescent="0.25">
      <c r="A115">
        <v>85260</v>
      </c>
      <c r="B115" t="s">
        <v>27</v>
      </c>
      <c r="C115">
        <v>13.7216</v>
      </c>
      <c r="D115">
        <v>0.1147</v>
      </c>
      <c r="E115">
        <v>6.3836000000000004</v>
      </c>
      <c r="F115">
        <v>-0.57079999999999997</v>
      </c>
      <c r="G115">
        <v>2.5999999999999999E-3</v>
      </c>
      <c r="H115">
        <v>0.66369999999999996</v>
      </c>
      <c r="I115">
        <v>0.2843</v>
      </c>
      <c r="J115">
        <v>5.1499999999999997E-2</v>
      </c>
      <c r="K115">
        <v>0.13600000000000001</v>
      </c>
      <c r="L115">
        <v>579.90949999999998</v>
      </c>
      <c r="M115">
        <v>52</v>
      </c>
      <c r="N115">
        <v>12.048299999999999</v>
      </c>
      <c r="O115">
        <v>0.33150000000000002</v>
      </c>
      <c r="P115">
        <v>2.331</v>
      </c>
      <c r="Q115">
        <v>-0.78759999999999997</v>
      </c>
      <c r="R115">
        <v>1.15E-2</v>
      </c>
      <c r="S115">
        <v>0.32919999999999999</v>
      </c>
      <c r="T115">
        <v>0.72950000000000004</v>
      </c>
      <c r="U115">
        <v>3.0700000000000002E-2</v>
      </c>
      <c r="V115">
        <v>0.17100000000000001</v>
      </c>
      <c r="W115">
        <v>553.72230000000002</v>
      </c>
      <c r="X115">
        <v>51</v>
      </c>
      <c r="Y115">
        <f t="shared" si="12"/>
        <v>1.6733000000000011</v>
      </c>
      <c r="Z115">
        <f t="shared" si="13"/>
        <v>-0.21680000000000002</v>
      </c>
      <c r="AA115">
        <f t="shared" si="14"/>
        <v>4.0526</v>
      </c>
      <c r="AB115">
        <f t="shared" si="15"/>
        <v>0.21679999999999999</v>
      </c>
      <c r="AC115">
        <f t="shared" si="16"/>
        <v>-8.8999999999999999E-3</v>
      </c>
      <c r="AD115">
        <f t="shared" si="17"/>
        <v>0.33449999999999996</v>
      </c>
      <c r="AE115">
        <f t="shared" si="18"/>
        <v>-0.44520000000000004</v>
      </c>
      <c r="AF115">
        <f t="shared" si="19"/>
        <v>2.0799999999999996E-2</v>
      </c>
      <c r="AG115">
        <f t="shared" si="20"/>
        <v>-3.5000000000000003E-2</v>
      </c>
      <c r="AH115">
        <f t="shared" si="21"/>
        <v>26.187199999999962</v>
      </c>
      <c r="AI115">
        <f t="shared" si="21"/>
        <v>1</v>
      </c>
    </row>
    <row r="116" spans="1:35" x14ac:dyDescent="0.25">
      <c r="A116">
        <v>96127</v>
      </c>
      <c r="B116" t="s">
        <v>98</v>
      </c>
      <c r="C116">
        <v>156133.4369</v>
      </c>
      <c r="D116">
        <v>4484.9606999999996</v>
      </c>
      <c r="E116">
        <v>35775.416599999997</v>
      </c>
      <c r="F116">
        <v>-161.4194</v>
      </c>
      <c r="G116" s="1">
        <v>9.5799999999999995E-45</v>
      </c>
      <c r="H116" s="1">
        <v>4.4299999999999999E-6</v>
      </c>
      <c r="I116">
        <v>0.28470000000000001</v>
      </c>
      <c r="J116">
        <v>0.9002</v>
      </c>
      <c r="K116">
        <v>0.78180000000000005</v>
      </c>
      <c r="L116">
        <v>1956.6134</v>
      </c>
      <c r="M116">
        <v>78</v>
      </c>
      <c r="N116">
        <v>143816.58290000001</v>
      </c>
      <c r="O116">
        <v>6159.2533000000003</v>
      </c>
      <c r="P116">
        <v>7969.7897999999996</v>
      </c>
      <c r="Q116">
        <v>-1835.712</v>
      </c>
      <c r="R116" s="1">
        <v>3.8600000000000002E-53</v>
      </c>
      <c r="S116" s="1">
        <v>1.86E-21</v>
      </c>
      <c r="T116">
        <v>0.74770000000000003</v>
      </c>
      <c r="U116">
        <v>8.6099999999999996E-2</v>
      </c>
      <c r="V116">
        <v>0.81210000000000004</v>
      </c>
      <c r="W116">
        <v>1866.1143999999999</v>
      </c>
      <c r="X116">
        <v>75</v>
      </c>
      <c r="Y116">
        <f t="shared" si="12"/>
        <v>12316.853999999992</v>
      </c>
      <c r="Z116">
        <f t="shared" si="13"/>
        <v>-1674.2926000000007</v>
      </c>
      <c r="AA116">
        <f t="shared" si="14"/>
        <v>27805.626799999998</v>
      </c>
      <c r="AB116">
        <f t="shared" si="15"/>
        <v>1674.2926</v>
      </c>
      <c r="AC116">
        <f t="shared" si="16"/>
        <v>9.5799999613999998E-45</v>
      </c>
      <c r="AD116">
        <f t="shared" si="17"/>
        <v>4.4299999999999982E-6</v>
      </c>
      <c r="AE116">
        <f t="shared" si="18"/>
        <v>-0.46300000000000002</v>
      </c>
      <c r="AF116">
        <f t="shared" si="19"/>
        <v>0.81410000000000005</v>
      </c>
      <c r="AG116">
        <f t="shared" si="20"/>
        <v>-3.0299999999999994E-2</v>
      </c>
      <c r="AH116">
        <f t="shared" si="21"/>
        <v>90.499000000000024</v>
      </c>
      <c r="AI116">
        <f t="shared" si="21"/>
        <v>3</v>
      </c>
    </row>
    <row r="117" spans="1:35" x14ac:dyDescent="0.25">
      <c r="A117">
        <v>11106</v>
      </c>
      <c r="B117" t="s">
        <v>99</v>
      </c>
      <c r="C117">
        <v>183.9667</v>
      </c>
      <c r="D117">
        <v>10.0174</v>
      </c>
      <c r="E117">
        <v>76.713499999999996</v>
      </c>
      <c r="F117">
        <v>-13.758699999999999</v>
      </c>
      <c r="G117" s="1">
        <v>1.18E-17</v>
      </c>
      <c r="H117" s="1">
        <v>5.02E-8</v>
      </c>
      <c r="I117">
        <v>0.28670000000000001</v>
      </c>
      <c r="J117" s="1">
        <v>3.9900000000000001E-5</v>
      </c>
      <c r="K117">
        <v>0.224</v>
      </c>
      <c r="L117">
        <v>859.49620000000004</v>
      </c>
      <c r="M117">
        <v>66</v>
      </c>
      <c r="N117">
        <v>179.3766</v>
      </c>
      <c r="O117">
        <v>12.2195</v>
      </c>
      <c r="P117">
        <v>67.313900000000004</v>
      </c>
      <c r="Q117">
        <v>-15.960699999999999</v>
      </c>
      <c r="R117" s="1">
        <v>5.0700000000000001E-14</v>
      </c>
      <c r="S117" s="1">
        <v>4.95E-8</v>
      </c>
      <c r="T117">
        <v>0.3533</v>
      </c>
      <c r="U117" s="1">
        <v>9.6900000000000004E-6</v>
      </c>
      <c r="V117">
        <v>0.21390000000000001</v>
      </c>
      <c r="W117">
        <v>823.72580000000005</v>
      </c>
      <c r="X117">
        <v>63</v>
      </c>
      <c r="Y117">
        <f t="shared" si="12"/>
        <v>4.5901000000000067</v>
      </c>
      <c r="Z117">
        <f t="shared" si="13"/>
        <v>-2.2020999999999997</v>
      </c>
      <c r="AA117">
        <f t="shared" si="14"/>
        <v>9.3995999999999924</v>
      </c>
      <c r="AB117">
        <f t="shared" si="15"/>
        <v>2.202</v>
      </c>
      <c r="AC117">
        <f t="shared" si="16"/>
        <v>-5.0688199999999999E-14</v>
      </c>
      <c r="AD117">
        <f t="shared" si="17"/>
        <v>6.9999999999999965E-10</v>
      </c>
      <c r="AE117">
        <f t="shared" si="18"/>
        <v>-6.6599999999999993E-2</v>
      </c>
      <c r="AF117">
        <f t="shared" si="19"/>
        <v>3.021E-5</v>
      </c>
      <c r="AG117">
        <f t="shared" si="20"/>
        <v>1.0099999999999998E-2</v>
      </c>
      <c r="AH117">
        <f t="shared" si="21"/>
        <v>35.770399999999995</v>
      </c>
      <c r="AI117">
        <f t="shared" si="21"/>
        <v>3</v>
      </c>
    </row>
    <row r="118" spans="1:35" x14ac:dyDescent="0.25">
      <c r="A118">
        <v>75574</v>
      </c>
      <c r="B118" t="s">
        <v>100</v>
      </c>
      <c r="C118">
        <v>284.56909999999999</v>
      </c>
      <c r="D118">
        <v>12.723000000000001</v>
      </c>
      <c r="E118">
        <v>103.5706</v>
      </c>
      <c r="F118">
        <v>41.203099999999999</v>
      </c>
      <c r="G118" s="1">
        <v>1.8699999999999999E-23</v>
      </c>
      <c r="H118" s="1">
        <v>1.04E-5</v>
      </c>
      <c r="I118">
        <v>0.36880000000000002</v>
      </c>
      <c r="J118" s="1">
        <v>3.18E-18</v>
      </c>
      <c r="K118">
        <v>0.92500000000000004</v>
      </c>
      <c r="L118">
        <v>1101.7628</v>
      </c>
      <c r="M118">
        <v>78</v>
      </c>
      <c r="N118">
        <v>243.8253</v>
      </c>
      <c r="O118">
        <v>18.2193</v>
      </c>
      <c r="P118">
        <v>6.6045999999999996</v>
      </c>
      <c r="Q118">
        <v>35.706800000000001</v>
      </c>
      <c r="R118" s="1">
        <v>2.3599999999999999E-32</v>
      </c>
      <c r="S118" s="1">
        <v>2.6599999999999998E-50</v>
      </c>
      <c r="T118">
        <v>0.93889999999999996</v>
      </c>
      <c r="U118" s="1">
        <v>2.01E-19</v>
      </c>
      <c r="V118">
        <v>0.93169999999999997</v>
      </c>
      <c r="W118">
        <v>1051.2840000000001</v>
      </c>
      <c r="X118">
        <v>75</v>
      </c>
      <c r="Y118">
        <f t="shared" si="12"/>
        <v>40.743799999999993</v>
      </c>
      <c r="Z118">
        <f t="shared" si="13"/>
        <v>-5.4962999999999997</v>
      </c>
      <c r="AA118">
        <f t="shared" si="14"/>
        <v>96.965999999999994</v>
      </c>
      <c r="AB118">
        <f t="shared" si="15"/>
        <v>5.496299999999998</v>
      </c>
      <c r="AC118">
        <f t="shared" si="16"/>
        <v>1.8699999976399999E-23</v>
      </c>
      <c r="AD118">
        <f t="shared" si="17"/>
        <v>1.04E-5</v>
      </c>
      <c r="AE118">
        <f t="shared" si="18"/>
        <v>-0.57009999999999994</v>
      </c>
      <c r="AF118">
        <f t="shared" si="19"/>
        <v>2.9790000000000001E-18</v>
      </c>
      <c r="AG118">
        <f t="shared" si="20"/>
        <v>-6.6999999999999282E-3</v>
      </c>
      <c r="AH118">
        <f t="shared" si="21"/>
        <v>50.478799999999865</v>
      </c>
      <c r="AI118">
        <f t="shared" si="21"/>
        <v>3</v>
      </c>
    </row>
    <row r="119" spans="1:35" x14ac:dyDescent="0.25">
      <c r="A119">
        <v>96121</v>
      </c>
      <c r="B119" t="s">
        <v>101</v>
      </c>
      <c r="C119">
        <v>529.33330000000001</v>
      </c>
      <c r="D119">
        <v>11.413</v>
      </c>
      <c r="E119">
        <v>-77.141099999999994</v>
      </c>
      <c r="F119">
        <v>-15.9048</v>
      </c>
      <c r="G119">
        <v>1E-3</v>
      </c>
      <c r="H119">
        <v>0.2195</v>
      </c>
      <c r="I119">
        <v>0.38719999999999999</v>
      </c>
      <c r="J119">
        <v>9.1999999999999998E-2</v>
      </c>
      <c r="K119">
        <v>0.11899999999999999</v>
      </c>
      <c r="L119">
        <v>892.43740000000003</v>
      </c>
      <c r="M119">
        <v>66</v>
      </c>
      <c r="N119">
        <v>495.98700000000002</v>
      </c>
      <c r="O119">
        <v>18.958400000000001</v>
      </c>
      <c r="P119">
        <v>-160.46360000000001</v>
      </c>
      <c r="Q119">
        <v>-23.450199999999999</v>
      </c>
      <c r="R119">
        <v>2.0999999999999999E-3</v>
      </c>
      <c r="S119">
        <v>7.8299999999999995E-2</v>
      </c>
      <c r="T119">
        <v>9.8699999999999996E-2</v>
      </c>
      <c r="U119">
        <v>3.1300000000000001E-2</v>
      </c>
      <c r="V119">
        <v>0.18859999999999999</v>
      </c>
      <c r="W119">
        <v>848.39949999999999</v>
      </c>
      <c r="X119">
        <v>63</v>
      </c>
      <c r="Y119">
        <f t="shared" si="12"/>
        <v>33.346299999999985</v>
      </c>
      <c r="Z119">
        <f t="shared" si="13"/>
        <v>-7.5454000000000008</v>
      </c>
      <c r="AA119">
        <f t="shared" si="14"/>
        <v>83.322500000000019</v>
      </c>
      <c r="AB119">
        <f t="shared" si="15"/>
        <v>7.545399999999999</v>
      </c>
      <c r="AC119">
        <f t="shared" si="16"/>
        <v>-1.0999999999999998E-3</v>
      </c>
      <c r="AD119">
        <f t="shared" si="17"/>
        <v>0.14119999999999999</v>
      </c>
      <c r="AE119">
        <f t="shared" si="18"/>
        <v>0.28849999999999998</v>
      </c>
      <c r="AF119">
        <f t="shared" si="19"/>
        <v>6.0699999999999997E-2</v>
      </c>
      <c r="AG119">
        <f t="shared" si="20"/>
        <v>-6.9599999999999995E-2</v>
      </c>
      <c r="AH119">
        <f t="shared" si="21"/>
        <v>44.037900000000036</v>
      </c>
      <c r="AI119">
        <f t="shared" si="21"/>
        <v>3</v>
      </c>
    </row>
    <row r="120" spans="1:35" x14ac:dyDescent="0.25">
      <c r="A120">
        <v>86161</v>
      </c>
      <c r="B120" t="s">
        <v>102</v>
      </c>
      <c r="C120">
        <v>250.88140000000001</v>
      </c>
      <c r="D120">
        <v>6.1798000000000002</v>
      </c>
      <c r="E120">
        <v>39.8444</v>
      </c>
      <c r="F120">
        <v>-2.9005000000000001</v>
      </c>
      <c r="G120" s="1">
        <v>5.3199999999999999E-36</v>
      </c>
      <c r="H120" s="1">
        <v>3.7200000000000003E-5</v>
      </c>
      <c r="I120">
        <v>0.38740000000000002</v>
      </c>
      <c r="J120">
        <v>8.3699999999999997E-2</v>
      </c>
      <c r="K120">
        <v>0.67449999999999999</v>
      </c>
      <c r="L120">
        <v>929.98059999999998</v>
      </c>
      <c r="M120">
        <v>78</v>
      </c>
      <c r="N120">
        <v>229.27809999999999</v>
      </c>
      <c r="O120">
        <v>8.7042000000000002</v>
      </c>
      <c r="P120">
        <v>-0.79430000000000001</v>
      </c>
      <c r="Q120">
        <v>-5.4249000000000001</v>
      </c>
      <c r="R120" s="1">
        <v>1.08E-27</v>
      </c>
      <c r="S120" s="1">
        <v>9.46E-8</v>
      </c>
      <c r="T120">
        <v>0.98519999999999996</v>
      </c>
      <c r="U120">
        <v>2.5000000000000001E-3</v>
      </c>
      <c r="V120">
        <v>0.73050000000000004</v>
      </c>
      <c r="W120">
        <v>874.81330000000003</v>
      </c>
      <c r="X120">
        <v>75</v>
      </c>
      <c r="Y120">
        <f t="shared" si="12"/>
        <v>21.603300000000019</v>
      </c>
      <c r="Z120">
        <f t="shared" si="13"/>
        <v>-2.5244</v>
      </c>
      <c r="AA120">
        <f t="shared" si="14"/>
        <v>40.6387</v>
      </c>
      <c r="AB120">
        <f t="shared" si="15"/>
        <v>2.5244</v>
      </c>
      <c r="AC120">
        <f t="shared" si="16"/>
        <v>-1.07999999468E-27</v>
      </c>
      <c r="AD120">
        <f t="shared" si="17"/>
        <v>3.7105400000000006E-5</v>
      </c>
      <c r="AE120">
        <f t="shared" si="18"/>
        <v>-0.59779999999999989</v>
      </c>
      <c r="AF120">
        <f t="shared" si="19"/>
        <v>8.1199999999999994E-2</v>
      </c>
      <c r="AG120">
        <f t="shared" si="20"/>
        <v>-5.600000000000005E-2</v>
      </c>
      <c r="AH120">
        <f t="shared" si="21"/>
        <v>55.167299999999955</v>
      </c>
      <c r="AI120">
        <f t="shared" si="21"/>
        <v>3</v>
      </c>
    </row>
    <row r="121" spans="1:35" x14ac:dyDescent="0.25">
      <c r="A121">
        <v>92552</v>
      </c>
      <c r="B121" t="s">
        <v>103</v>
      </c>
      <c r="C121">
        <v>63776.370900000002</v>
      </c>
      <c r="D121">
        <v>641.07249999999999</v>
      </c>
      <c r="E121">
        <v>10333.407800000001</v>
      </c>
      <c r="F121">
        <v>-846.8501</v>
      </c>
      <c r="G121" s="1">
        <v>6.4100000000000002E-25</v>
      </c>
      <c r="H121">
        <v>0.1086</v>
      </c>
      <c r="I121">
        <v>0.40620000000000001</v>
      </c>
      <c r="J121">
        <v>9.2100000000000001E-2</v>
      </c>
      <c r="K121">
        <v>0.17510000000000001</v>
      </c>
      <c r="L121">
        <v>1793.8752999999999</v>
      </c>
      <c r="M121">
        <v>78</v>
      </c>
      <c r="N121">
        <v>60497.7736</v>
      </c>
      <c r="O121">
        <v>1127.8000999999999</v>
      </c>
      <c r="P121">
        <v>-40.063099999999999</v>
      </c>
      <c r="Q121">
        <v>-1333.5778</v>
      </c>
      <c r="R121" s="1">
        <v>6.8999999999999997E-25</v>
      </c>
      <c r="S121">
        <v>5.0000000000000001E-4</v>
      </c>
      <c r="T121">
        <v>0.99670000000000003</v>
      </c>
      <c r="U121">
        <v>3.0999999999999999E-3</v>
      </c>
      <c r="V121">
        <v>0.21149999999999999</v>
      </c>
      <c r="W121">
        <v>1710.1166000000001</v>
      </c>
      <c r="X121">
        <v>75</v>
      </c>
      <c r="Y121">
        <f t="shared" si="12"/>
        <v>3278.5973000000013</v>
      </c>
      <c r="Z121">
        <f t="shared" si="13"/>
        <v>-486.72759999999994</v>
      </c>
      <c r="AA121">
        <f t="shared" si="14"/>
        <v>10373.4709</v>
      </c>
      <c r="AB121">
        <f t="shared" si="15"/>
        <v>486.72770000000003</v>
      </c>
      <c r="AC121">
        <f t="shared" si="16"/>
        <v>-4.8999999999999953E-26</v>
      </c>
      <c r="AD121">
        <f t="shared" si="17"/>
        <v>0.1081</v>
      </c>
      <c r="AE121">
        <f t="shared" si="18"/>
        <v>-0.59050000000000002</v>
      </c>
      <c r="AF121">
        <f t="shared" si="19"/>
        <v>8.8999999999999996E-2</v>
      </c>
      <c r="AG121">
        <f t="shared" si="20"/>
        <v>-3.6399999999999988E-2</v>
      </c>
      <c r="AH121">
        <f t="shared" si="21"/>
        <v>83.758699999999862</v>
      </c>
      <c r="AI121">
        <f t="shared" si="21"/>
        <v>3</v>
      </c>
    </row>
    <row r="122" spans="1:35" x14ac:dyDescent="0.25">
      <c r="A122">
        <v>86317</v>
      </c>
      <c r="B122" t="s">
        <v>104</v>
      </c>
      <c r="C122">
        <v>20077.7703</v>
      </c>
      <c r="D122">
        <v>6.4749999999999996</v>
      </c>
      <c r="E122">
        <v>1425.5978</v>
      </c>
      <c r="F122">
        <v>422.61939999999998</v>
      </c>
      <c r="G122" s="1">
        <v>8.8499999999999996E-174</v>
      </c>
      <c r="H122">
        <v>0.91879999999999995</v>
      </c>
      <c r="I122">
        <v>0.4713</v>
      </c>
      <c r="J122" s="1">
        <v>5.2899999999999997E-8</v>
      </c>
      <c r="K122">
        <v>0.80320000000000003</v>
      </c>
      <c r="L122">
        <v>1500.7056</v>
      </c>
      <c r="M122">
        <v>78</v>
      </c>
      <c r="N122">
        <v>19396.294099999999</v>
      </c>
      <c r="O122">
        <v>100.1862</v>
      </c>
      <c r="P122">
        <v>-872.25710000000004</v>
      </c>
      <c r="Q122">
        <v>328.90820000000002</v>
      </c>
      <c r="R122" s="1">
        <v>3.7400000000000003E-222</v>
      </c>
      <c r="S122">
        <v>2.5000000000000001E-3</v>
      </c>
      <c r="T122">
        <v>0.43919999999999998</v>
      </c>
      <c r="U122" s="1">
        <v>4.6099999999999996E-9</v>
      </c>
      <c r="V122">
        <v>0.85919999999999996</v>
      </c>
      <c r="W122">
        <v>1407.2498000000001</v>
      </c>
      <c r="X122">
        <v>75</v>
      </c>
      <c r="Y122">
        <f t="shared" si="12"/>
        <v>681.47620000000097</v>
      </c>
      <c r="Z122">
        <f t="shared" si="13"/>
        <v>-93.711200000000005</v>
      </c>
      <c r="AA122">
        <f t="shared" si="14"/>
        <v>2297.8549000000003</v>
      </c>
      <c r="AB122">
        <f t="shared" si="15"/>
        <v>93.711199999999963</v>
      </c>
      <c r="AC122">
        <f t="shared" si="16"/>
        <v>8.8499999999999996E-174</v>
      </c>
      <c r="AD122">
        <f t="shared" si="17"/>
        <v>0.9163</v>
      </c>
      <c r="AE122">
        <f t="shared" si="18"/>
        <v>3.2100000000000017E-2</v>
      </c>
      <c r="AF122">
        <f t="shared" si="19"/>
        <v>4.8289999999999998E-8</v>
      </c>
      <c r="AG122">
        <f t="shared" si="20"/>
        <v>-5.5999999999999939E-2</v>
      </c>
      <c r="AH122">
        <f t="shared" si="21"/>
        <v>93.455799999999954</v>
      </c>
      <c r="AI122">
        <f t="shared" si="21"/>
        <v>3</v>
      </c>
    </row>
    <row r="123" spans="1:35" x14ac:dyDescent="0.25">
      <c r="A123">
        <v>28470</v>
      </c>
      <c r="B123" t="s">
        <v>105</v>
      </c>
      <c r="C123">
        <v>26.367899999999999</v>
      </c>
      <c r="D123">
        <v>5.6800000000000003E-2</v>
      </c>
      <c r="E123">
        <v>7.9173999999999998</v>
      </c>
      <c r="F123">
        <v>0.91069999999999995</v>
      </c>
      <c r="G123" s="1">
        <v>7.5099999999999996E-5</v>
      </c>
      <c r="H123">
        <v>0.88170000000000004</v>
      </c>
      <c r="I123">
        <v>0.47689999999999999</v>
      </c>
      <c r="J123">
        <v>7.7600000000000002E-2</v>
      </c>
      <c r="K123">
        <v>0.35560000000000003</v>
      </c>
      <c r="L123">
        <v>728.37360000000001</v>
      </c>
      <c r="M123">
        <v>68</v>
      </c>
      <c r="N123">
        <v>23.9376</v>
      </c>
      <c r="O123">
        <v>0.30309999999999998</v>
      </c>
      <c r="P123">
        <v>2.6335999999999999</v>
      </c>
      <c r="Q123">
        <v>0.6643</v>
      </c>
      <c r="R123">
        <v>8.9999999999999998E-4</v>
      </c>
      <c r="S123">
        <v>0.52429999999999999</v>
      </c>
      <c r="T123">
        <v>0.82620000000000005</v>
      </c>
      <c r="U123">
        <v>0.26200000000000001</v>
      </c>
      <c r="V123">
        <v>0.34460000000000002</v>
      </c>
      <c r="W123">
        <v>700.32759999999996</v>
      </c>
      <c r="X123">
        <v>67</v>
      </c>
      <c r="Y123">
        <f t="shared" si="12"/>
        <v>2.430299999999999</v>
      </c>
      <c r="Z123">
        <f t="shared" si="13"/>
        <v>-0.24629999999999996</v>
      </c>
      <c r="AA123">
        <f t="shared" si="14"/>
        <v>5.2837999999999994</v>
      </c>
      <c r="AB123">
        <f t="shared" si="15"/>
        <v>0.24639999999999995</v>
      </c>
      <c r="AC123">
        <f t="shared" si="16"/>
        <v>-8.2489999999999994E-4</v>
      </c>
      <c r="AD123">
        <f t="shared" si="17"/>
        <v>0.35740000000000005</v>
      </c>
      <c r="AE123">
        <f t="shared" si="18"/>
        <v>-0.34930000000000005</v>
      </c>
      <c r="AF123">
        <f t="shared" si="19"/>
        <v>-0.18440000000000001</v>
      </c>
      <c r="AG123">
        <f t="shared" si="20"/>
        <v>1.100000000000001E-2</v>
      </c>
      <c r="AH123">
        <f t="shared" si="21"/>
        <v>28.046000000000049</v>
      </c>
      <c r="AI123">
        <f t="shared" si="21"/>
        <v>1</v>
      </c>
    </row>
    <row r="124" spans="1:35" x14ac:dyDescent="0.25">
      <c r="A124">
        <v>96139</v>
      </c>
      <c r="B124" t="s">
        <v>106</v>
      </c>
      <c r="C124">
        <v>2136.5967000000001</v>
      </c>
      <c r="D124">
        <v>-17.200399999999998</v>
      </c>
      <c r="E124">
        <v>207.18170000000001</v>
      </c>
      <c r="F124">
        <v>73.492699999999999</v>
      </c>
      <c r="G124" s="1">
        <v>1.01E-65</v>
      </c>
      <c r="H124">
        <v>0.218</v>
      </c>
      <c r="I124">
        <v>0.47889999999999999</v>
      </c>
      <c r="J124" s="1">
        <v>4.0099999999999997E-6</v>
      </c>
      <c r="K124">
        <v>0.70579999999999998</v>
      </c>
      <c r="L124">
        <v>1029.2420999999999</v>
      </c>
      <c r="M124">
        <v>66</v>
      </c>
      <c r="N124">
        <v>2157.2727</v>
      </c>
      <c r="O124">
        <v>-8.0273000000000003</v>
      </c>
      <c r="P124">
        <v>-48.558900000000001</v>
      </c>
      <c r="Q124">
        <v>64.319599999999994</v>
      </c>
      <c r="R124" s="1">
        <v>2.4E-99</v>
      </c>
      <c r="S124">
        <v>0.38850000000000001</v>
      </c>
      <c r="T124">
        <v>0.80579999999999996</v>
      </c>
      <c r="U124" s="1">
        <v>9.0999999999999994E-8</v>
      </c>
      <c r="V124">
        <v>0.71230000000000004</v>
      </c>
      <c r="W124">
        <v>973.33040000000005</v>
      </c>
      <c r="X124">
        <v>63</v>
      </c>
      <c r="Y124">
        <f t="shared" si="12"/>
        <v>-20.675999999999931</v>
      </c>
      <c r="Z124">
        <f t="shared" si="13"/>
        <v>-9.173099999999998</v>
      </c>
      <c r="AA124">
        <f t="shared" si="14"/>
        <v>255.7406</v>
      </c>
      <c r="AB124">
        <f t="shared" si="15"/>
        <v>9.1731000000000051</v>
      </c>
      <c r="AC124">
        <f t="shared" si="16"/>
        <v>1.01E-65</v>
      </c>
      <c r="AD124">
        <f t="shared" si="17"/>
        <v>-0.17050000000000001</v>
      </c>
      <c r="AE124">
        <f t="shared" si="18"/>
        <v>-0.32689999999999997</v>
      </c>
      <c r="AF124">
        <f t="shared" si="19"/>
        <v>3.9190000000000001E-6</v>
      </c>
      <c r="AG124">
        <f t="shared" si="20"/>
        <v>-6.5000000000000613E-3</v>
      </c>
      <c r="AH124">
        <f t="shared" si="21"/>
        <v>55.911699999999882</v>
      </c>
      <c r="AI124">
        <f t="shared" si="21"/>
        <v>3</v>
      </c>
    </row>
    <row r="125" spans="1:35" x14ac:dyDescent="0.25">
      <c r="A125">
        <v>95907</v>
      </c>
      <c r="B125" t="s">
        <v>31</v>
      </c>
      <c r="C125">
        <v>60.828800000000001</v>
      </c>
      <c r="D125">
        <v>-1.0711999999999999</v>
      </c>
      <c r="E125">
        <v>-6.7769000000000004</v>
      </c>
      <c r="F125">
        <v>0.72950000000000004</v>
      </c>
      <c r="G125" s="1">
        <v>1.8700000000000001E-6</v>
      </c>
      <c r="H125">
        <v>5.2200000000000003E-2</v>
      </c>
      <c r="I125">
        <v>0.50760000000000005</v>
      </c>
      <c r="J125">
        <v>0.20119999999999999</v>
      </c>
      <c r="K125">
        <v>0.42499999999999999</v>
      </c>
      <c r="L125">
        <v>715.84659999999997</v>
      </c>
      <c r="M125">
        <v>47</v>
      </c>
      <c r="N125">
        <v>60.149700000000003</v>
      </c>
      <c r="O125">
        <v>-0.89</v>
      </c>
      <c r="P125">
        <v>-15.1075</v>
      </c>
      <c r="Q125">
        <v>0.54830000000000001</v>
      </c>
      <c r="R125" s="1">
        <v>6.9399999999999996E-6</v>
      </c>
      <c r="S125">
        <v>0.1295</v>
      </c>
      <c r="T125">
        <v>8.6499999999999994E-2</v>
      </c>
      <c r="U125">
        <v>0.36520000000000002</v>
      </c>
      <c r="V125">
        <v>0.46929999999999999</v>
      </c>
      <c r="W125">
        <v>683.4556</v>
      </c>
      <c r="X125">
        <v>47</v>
      </c>
      <c r="Y125">
        <f t="shared" si="12"/>
        <v>0.67909999999999826</v>
      </c>
      <c r="Z125">
        <f t="shared" si="13"/>
        <v>-0.18119999999999992</v>
      </c>
      <c r="AA125">
        <f t="shared" si="14"/>
        <v>8.3306000000000004</v>
      </c>
      <c r="AB125">
        <f t="shared" si="15"/>
        <v>0.18120000000000003</v>
      </c>
      <c r="AC125">
        <f t="shared" si="16"/>
        <v>-5.0699999999999997E-6</v>
      </c>
      <c r="AD125">
        <f t="shared" si="17"/>
        <v>-7.7300000000000008E-2</v>
      </c>
      <c r="AE125">
        <f t="shared" si="18"/>
        <v>0.42110000000000003</v>
      </c>
      <c r="AF125">
        <f t="shared" si="19"/>
        <v>-0.16400000000000003</v>
      </c>
      <c r="AG125">
        <f t="shared" si="20"/>
        <v>-4.4300000000000006E-2</v>
      </c>
      <c r="AH125">
        <f t="shared" si="21"/>
        <v>32.390999999999963</v>
      </c>
      <c r="AI125">
        <f t="shared" si="21"/>
        <v>0</v>
      </c>
    </row>
    <row r="126" spans="1:35" x14ac:dyDescent="0.25">
      <c r="A126">
        <v>85250</v>
      </c>
      <c r="B126" t="s">
        <v>27</v>
      </c>
      <c r="C126">
        <v>62.2027</v>
      </c>
      <c r="D126">
        <v>1.7218</v>
      </c>
      <c r="E126">
        <v>9.3398000000000003</v>
      </c>
      <c r="F126">
        <v>2.5785999999999998</v>
      </c>
      <c r="G126" s="1">
        <v>7.3600000000000001E-37</v>
      </c>
      <c r="H126" s="1">
        <v>9.3700000000000001E-6</v>
      </c>
      <c r="I126">
        <v>0.53820000000000001</v>
      </c>
      <c r="J126" s="1">
        <v>5.3499999999999999E-5</v>
      </c>
      <c r="K126">
        <v>0.80620000000000003</v>
      </c>
      <c r="L126">
        <v>805.2989</v>
      </c>
      <c r="M126">
        <v>78</v>
      </c>
      <c r="N126">
        <v>57.502699999999997</v>
      </c>
      <c r="O126">
        <v>2.3378999999999999</v>
      </c>
      <c r="P126">
        <v>-0.51180000000000003</v>
      </c>
      <c r="Q126">
        <v>1.9624999999999999</v>
      </c>
      <c r="R126" s="1">
        <v>3.7900000000000002E-32</v>
      </c>
      <c r="S126" s="1">
        <v>1.6299999999999999E-21</v>
      </c>
      <c r="T126">
        <v>0.96609999999999996</v>
      </c>
      <c r="U126">
        <v>5.0000000000000001E-4</v>
      </c>
      <c r="V126">
        <v>0.81379999999999997</v>
      </c>
      <c r="W126">
        <v>770.23099999999999</v>
      </c>
      <c r="X126">
        <v>75</v>
      </c>
      <c r="Y126">
        <f t="shared" si="12"/>
        <v>4.7000000000000028</v>
      </c>
      <c r="Z126">
        <f t="shared" si="13"/>
        <v>-0.61609999999999987</v>
      </c>
      <c r="AA126">
        <f t="shared" si="14"/>
        <v>9.8516000000000012</v>
      </c>
      <c r="AB126">
        <f t="shared" si="15"/>
        <v>0.61609999999999987</v>
      </c>
      <c r="AC126">
        <f t="shared" si="16"/>
        <v>-3.7899264000000005E-32</v>
      </c>
      <c r="AD126">
        <f t="shared" si="17"/>
        <v>9.3699999999999984E-6</v>
      </c>
      <c r="AE126">
        <f t="shared" si="18"/>
        <v>-0.42789999999999995</v>
      </c>
      <c r="AF126">
        <f t="shared" si="19"/>
        <v>-4.4650000000000001E-4</v>
      </c>
      <c r="AG126">
        <f t="shared" si="20"/>
        <v>-7.5999999999999401E-3</v>
      </c>
      <c r="AH126">
        <f t="shared" si="21"/>
        <v>35.067900000000009</v>
      </c>
      <c r="AI126">
        <f t="shared" si="21"/>
        <v>3</v>
      </c>
    </row>
    <row r="127" spans="1:35" x14ac:dyDescent="0.25">
      <c r="A127">
        <v>85270</v>
      </c>
      <c r="B127" t="s">
        <v>27</v>
      </c>
      <c r="C127">
        <v>40.076599999999999</v>
      </c>
      <c r="D127">
        <v>2.5099</v>
      </c>
      <c r="E127">
        <v>-6.5297000000000001</v>
      </c>
      <c r="F127">
        <v>-1.3023</v>
      </c>
      <c r="G127" s="1">
        <v>5.6999999999999997E-14</v>
      </c>
      <c r="H127" s="1">
        <v>3.9899999999999999E-14</v>
      </c>
      <c r="I127">
        <v>0.5393</v>
      </c>
      <c r="J127">
        <v>4.7000000000000002E-3</v>
      </c>
      <c r="K127">
        <v>0.68110000000000004</v>
      </c>
      <c r="L127">
        <v>746.12030000000004</v>
      </c>
      <c r="M127">
        <v>78</v>
      </c>
      <c r="N127">
        <v>37.666699999999999</v>
      </c>
      <c r="O127">
        <v>2.9034</v>
      </c>
      <c r="P127">
        <v>-9.1820000000000004</v>
      </c>
      <c r="Q127">
        <v>-1.6958</v>
      </c>
      <c r="R127" s="1">
        <v>1.42E-10</v>
      </c>
      <c r="S127" s="1">
        <v>2.61E-14</v>
      </c>
      <c r="T127">
        <v>0.39960000000000001</v>
      </c>
      <c r="U127">
        <v>6.9999999999999999E-4</v>
      </c>
      <c r="V127">
        <v>0.67900000000000005</v>
      </c>
      <c r="W127">
        <v>719.44510000000002</v>
      </c>
      <c r="X127">
        <v>75</v>
      </c>
      <c r="Y127">
        <f t="shared" si="12"/>
        <v>2.4099000000000004</v>
      </c>
      <c r="Z127">
        <f t="shared" si="13"/>
        <v>-0.39349999999999996</v>
      </c>
      <c r="AA127">
        <f t="shared" si="14"/>
        <v>2.6523000000000003</v>
      </c>
      <c r="AB127">
        <f t="shared" si="15"/>
        <v>0.39349999999999996</v>
      </c>
      <c r="AC127">
        <f t="shared" si="16"/>
        <v>-1.41943E-10</v>
      </c>
      <c r="AD127">
        <f t="shared" si="17"/>
        <v>1.3799999999999999E-14</v>
      </c>
      <c r="AE127">
        <f t="shared" si="18"/>
        <v>0.13969999999999999</v>
      </c>
      <c r="AF127">
        <f t="shared" si="19"/>
        <v>4.0000000000000001E-3</v>
      </c>
      <c r="AG127">
        <f t="shared" si="20"/>
        <v>2.0999999999999908E-3</v>
      </c>
      <c r="AH127">
        <f t="shared" si="21"/>
        <v>26.675200000000018</v>
      </c>
      <c r="AI127">
        <f t="shared" si="21"/>
        <v>3</v>
      </c>
    </row>
    <row r="128" spans="1:35" x14ac:dyDescent="0.25">
      <c r="A128">
        <v>95922</v>
      </c>
      <c r="B128" t="s">
        <v>107</v>
      </c>
      <c r="C128">
        <v>104.40089999999999</v>
      </c>
      <c r="D128">
        <v>13.8485</v>
      </c>
      <c r="E128">
        <v>-34.104900000000001</v>
      </c>
      <c r="F128">
        <v>-25.601299999999998</v>
      </c>
      <c r="G128">
        <v>6.3E-3</v>
      </c>
      <c r="H128" s="1">
        <v>2.7700000000000001E-14</v>
      </c>
      <c r="I128">
        <v>0.56930000000000003</v>
      </c>
      <c r="J128" s="1">
        <v>1.6699999999999999E-26</v>
      </c>
      <c r="K128">
        <v>0.6341</v>
      </c>
      <c r="L128">
        <v>972.07180000000005</v>
      </c>
      <c r="M128">
        <v>78</v>
      </c>
      <c r="N128">
        <v>85.518699999999995</v>
      </c>
      <c r="O128">
        <v>16.268699999999999</v>
      </c>
      <c r="P128">
        <v>-51.1235</v>
      </c>
      <c r="Q128">
        <v>-28.0215</v>
      </c>
      <c r="R128">
        <v>4.3700000000000003E-2</v>
      </c>
      <c r="S128" s="1">
        <v>4.32E-15</v>
      </c>
      <c r="T128">
        <v>0.3846</v>
      </c>
      <c r="U128" s="1">
        <v>6.0800000000000001E-27</v>
      </c>
      <c r="V128">
        <v>0.6522</v>
      </c>
      <c r="W128">
        <v>934.18499999999995</v>
      </c>
      <c r="X128">
        <v>75</v>
      </c>
      <c r="Y128">
        <f t="shared" si="12"/>
        <v>18.882199999999997</v>
      </c>
      <c r="Z128">
        <f t="shared" si="13"/>
        <v>-2.4201999999999995</v>
      </c>
      <c r="AA128">
        <f t="shared" si="14"/>
        <v>17.018599999999999</v>
      </c>
      <c r="AB128">
        <f t="shared" si="15"/>
        <v>2.4202000000000012</v>
      </c>
      <c r="AC128">
        <f t="shared" si="16"/>
        <v>-3.7400000000000003E-2</v>
      </c>
      <c r="AD128">
        <f t="shared" si="17"/>
        <v>2.338E-14</v>
      </c>
      <c r="AE128">
        <f t="shared" si="18"/>
        <v>0.18470000000000003</v>
      </c>
      <c r="AF128">
        <f t="shared" si="19"/>
        <v>1.0619999999999999E-26</v>
      </c>
      <c r="AG128">
        <f t="shared" si="20"/>
        <v>-1.8100000000000005E-2</v>
      </c>
      <c r="AH128">
        <f t="shared" si="21"/>
        <v>37.886800000000108</v>
      </c>
      <c r="AI128">
        <f t="shared" si="21"/>
        <v>3</v>
      </c>
    </row>
    <row r="129" spans="1:35" x14ac:dyDescent="0.25">
      <c r="A129">
        <v>96133</v>
      </c>
      <c r="B129" t="s">
        <v>108</v>
      </c>
      <c r="C129">
        <v>2355.14</v>
      </c>
      <c r="D129">
        <v>-21.903500000000001</v>
      </c>
      <c r="E129">
        <v>85.810699999999997</v>
      </c>
      <c r="F129">
        <v>89.712800000000001</v>
      </c>
      <c r="G129" s="1">
        <v>1.57E-51</v>
      </c>
      <c r="H129">
        <v>4.24E-2</v>
      </c>
      <c r="I129">
        <v>0.69389999999999996</v>
      </c>
      <c r="J129" s="1">
        <v>1.1000000000000001E-11</v>
      </c>
      <c r="K129">
        <v>0.75319999999999998</v>
      </c>
      <c r="L129">
        <v>1029.4884999999999</v>
      </c>
      <c r="M129">
        <v>66</v>
      </c>
      <c r="N129">
        <v>2344.4459000000002</v>
      </c>
      <c r="O129">
        <v>-14.5351</v>
      </c>
      <c r="P129">
        <v>-116.57389999999999</v>
      </c>
      <c r="Q129">
        <v>82.344399999999993</v>
      </c>
      <c r="R129" s="1">
        <v>5.5100000000000004E-48</v>
      </c>
      <c r="S129">
        <v>0.23419999999999999</v>
      </c>
      <c r="T129">
        <v>0.55369999999999997</v>
      </c>
      <c r="U129" s="1">
        <v>1.13E-8</v>
      </c>
      <c r="V129">
        <v>0.74750000000000005</v>
      </c>
      <c r="W129">
        <v>980.94860000000006</v>
      </c>
      <c r="X129">
        <v>63</v>
      </c>
      <c r="Y129">
        <f t="shared" si="12"/>
        <v>10.694099999999708</v>
      </c>
      <c r="Z129">
        <f t="shared" si="13"/>
        <v>-7.3684000000000012</v>
      </c>
      <c r="AA129">
        <f t="shared" si="14"/>
        <v>202.38459999999998</v>
      </c>
      <c r="AB129">
        <f t="shared" si="15"/>
        <v>7.3684000000000083</v>
      </c>
      <c r="AC129">
        <f t="shared" si="16"/>
        <v>-5.5084300000000006E-48</v>
      </c>
      <c r="AD129">
        <f t="shared" si="17"/>
        <v>-0.1918</v>
      </c>
      <c r="AE129">
        <f t="shared" si="18"/>
        <v>0.14019999999999999</v>
      </c>
      <c r="AF129">
        <f t="shared" si="19"/>
        <v>-1.1289000000000001E-8</v>
      </c>
      <c r="AG129">
        <f t="shared" si="20"/>
        <v>5.6999999999999273E-3</v>
      </c>
      <c r="AH129">
        <f t="shared" si="21"/>
        <v>48.539899999999875</v>
      </c>
      <c r="AI129">
        <f t="shared" si="21"/>
        <v>3</v>
      </c>
    </row>
    <row r="130" spans="1:35" x14ac:dyDescent="0.25">
      <c r="A130">
        <v>29827</v>
      </c>
      <c r="B130" t="s">
        <v>109</v>
      </c>
      <c r="C130">
        <v>2.1516999999999999</v>
      </c>
      <c r="D130">
        <v>0.66439999999999999</v>
      </c>
      <c r="E130">
        <v>4.5077999999999996</v>
      </c>
      <c r="F130">
        <v>-1.0899000000000001</v>
      </c>
      <c r="G130">
        <v>0.71830000000000005</v>
      </c>
      <c r="H130">
        <v>3.4000000000000002E-2</v>
      </c>
      <c r="I130">
        <v>0.69930000000000003</v>
      </c>
      <c r="J130">
        <v>0.02</v>
      </c>
      <c r="K130">
        <v>0.1076</v>
      </c>
      <c r="L130">
        <v>706.44380000000001</v>
      </c>
      <c r="M130">
        <v>45</v>
      </c>
      <c r="N130">
        <v>2.0552999999999999</v>
      </c>
      <c r="O130">
        <v>0.75029999999999997</v>
      </c>
      <c r="P130">
        <v>3.8458000000000001</v>
      </c>
      <c r="Q130">
        <v>-1.1758999999999999</v>
      </c>
      <c r="R130">
        <v>0.74619999999999997</v>
      </c>
      <c r="S130">
        <v>3.6600000000000001E-2</v>
      </c>
      <c r="T130">
        <v>0.74429999999999996</v>
      </c>
      <c r="U130">
        <v>1.8800000000000001E-2</v>
      </c>
      <c r="V130">
        <v>0.106</v>
      </c>
      <c r="W130">
        <v>681.072</v>
      </c>
      <c r="X130">
        <v>44</v>
      </c>
      <c r="Y130">
        <f t="shared" si="12"/>
        <v>9.6400000000000041E-2</v>
      </c>
      <c r="Z130">
        <f t="shared" si="13"/>
        <v>-8.5899999999999976E-2</v>
      </c>
      <c r="AA130">
        <f t="shared" si="14"/>
        <v>0.66199999999999948</v>
      </c>
      <c r="AB130">
        <f t="shared" si="15"/>
        <v>8.5999999999999854E-2</v>
      </c>
      <c r="AC130">
        <f t="shared" si="16"/>
        <v>-2.7899999999999925E-2</v>
      </c>
      <c r="AD130">
        <f t="shared" si="17"/>
        <v>-2.5999999999999981E-3</v>
      </c>
      <c r="AE130">
        <f t="shared" si="18"/>
        <v>-4.4999999999999929E-2</v>
      </c>
      <c r="AF130">
        <f t="shared" si="19"/>
        <v>1.1999999999999997E-3</v>
      </c>
      <c r="AG130">
        <f t="shared" si="20"/>
        <v>1.6000000000000042E-3</v>
      </c>
      <c r="AH130">
        <f t="shared" si="21"/>
        <v>25.371800000000007</v>
      </c>
      <c r="AI130">
        <f t="shared" si="21"/>
        <v>1</v>
      </c>
    </row>
    <row r="131" spans="1:35" x14ac:dyDescent="0.25">
      <c r="A131">
        <v>95924</v>
      </c>
      <c r="B131" t="s">
        <v>110</v>
      </c>
      <c r="C131">
        <v>785.61260000000004</v>
      </c>
      <c r="D131">
        <v>-5.3540999999999999</v>
      </c>
      <c r="E131">
        <v>16.796700000000001</v>
      </c>
      <c r="F131">
        <v>10.263500000000001</v>
      </c>
      <c r="G131" s="1">
        <v>1.2799999999999999E-32</v>
      </c>
      <c r="H131">
        <v>6.8699999999999997E-2</v>
      </c>
      <c r="I131">
        <v>0.79649999999999999</v>
      </c>
      <c r="J131">
        <v>2.2000000000000001E-3</v>
      </c>
      <c r="K131">
        <v>0.1545</v>
      </c>
      <c r="L131">
        <v>1008.7196</v>
      </c>
      <c r="M131">
        <v>78</v>
      </c>
      <c r="N131">
        <v>775.74329999999998</v>
      </c>
      <c r="O131">
        <v>-3.7624</v>
      </c>
      <c r="P131">
        <v>-40.330199999999998</v>
      </c>
      <c r="Q131">
        <v>8.6719000000000008</v>
      </c>
      <c r="R131" s="1">
        <v>2.5800000000000002E-29</v>
      </c>
      <c r="S131">
        <v>0.19719999999999999</v>
      </c>
      <c r="T131">
        <v>0.44159999999999999</v>
      </c>
      <c r="U131">
        <v>8.8999999999999999E-3</v>
      </c>
      <c r="V131">
        <v>0.1255</v>
      </c>
      <c r="W131">
        <v>964.14940000000001</v>
      </c>
      <c r="X131">
        <v>75</v>
      </c>
      <c r="Y131">
        <f t="shared" si="12"/>
        <v>9.8693000000000666</v>
      </c>
      <c r="Z131">
        <f t="shared" si="13"/>
        <v>-1.5916999999999999</v>
      </c>
      <c r="AA131">
        <f t="shared" si="14"/>
        <v>57.126899999999999</v>
      </c>
      <c r="AB131">
        <f t="shared" si="15"/>
        <v>1.5915999999999997</v>
      </c>
      <c r="AC131">
        <f t="shared" si="16"/>
        <v>-2.57872E-29</v>
      </c>
      <c r="AD131">
        <f t="shared" si="17"/>
        <v>-0.1285</v>
      </c>
      <c r="AE131">
        <f t="shared" si="18"/>
        <v>0.35489999999999999</v>
      </c>
      <c r="AF131">
        <f t="shared" si="19"/>
        <v>-6.6999999999999994E-3</v>
      </c>
      <c r="AG131">
        <f t="shared" si="20"/>
        <v>2.8999999999999998E-2</v>
      </c>
      <c r="AH131">
        <f t="shared" si="21"/>
        <v>44.5702</v>
      </c>
      <c r="AI131">
        <f t="shared" si="21"/>
        <v>3</v>
      </c>
    </row>
    <row r="132" spans="1:35" x14ac:dyDescent="0.25">
      <c r="A132">
        <v>94762</v>
      </c>
      <c r="B132" t="s">
        <v>78</v>
      </c>
      <c r="C132">
        <v>4259.3362999999999</v>
      </c>
      <c r="D132">
        <v>-40.0319</v>
      </c>
      <c r="E132">
        <v>110.926</v>
      </c>
      <c r="F132">
        <v>43.456000000000003</v>
      </c>
      <c r="G132" s="1">
        <v>8.4E-54</v>
      </c>
      <c r="H132">
        <v>1.32E-2</v>
      </c>
      <c r="I132">
        <v>0.79910000000000003</v>
      </c>
      <c r="J132">
        <v>1.5699999999999999E-2</v>
      </c>
      <c r="K132">
        <v>0.2324</v>
      </c>
      <c r="L132">
        <v>1260.0032000000001</v>
      </c>
      <c r="M132">
        <v>78</v>
      </c>
      <c r="N132">
        <v>4118.098</v>
      </c>
      <c r="O132">
        <v>-27.1387</v>
      </c>
      <c r="P132">
        <v>-280.51440000000002</v>
      </c>
      <c r="Q132">
        <v>30.5627</v>
      </c>
      <c r="R132" s="1">
        <v>2.14E-51</v>
      </c>
      <c r="S132">
        <v>0.1958</v>
      </c>
      <c r="T132">
        <v>0.57920000000000005</v>
      </c>
      <c r="U132">
        <v>0.17580000000000001</v>
      </c>
      <c r="V132">
        <v>0.22359999999999999</v>
      </c>
      <c r="W132">
        <v>1207.5405000000001</v>
      </c>
      <c r="X132">
        <v>75</v>
      </c>
      <c r="Y132">
        <f t="shared" ref="Y132:Y135" si="22">C132-N132</f>
        <v>141.23829999999998</v>
      </c>
      <c r="Z132">
        <f t="shared" ref="Z132:Z135" si="23">D132-O132</f>
        <v>-12.8932</v>
      </c>
      <c r="AA132">
        <f t="shared" ref="AA132:AA135" si="24">E132-P132</f>
        <v>391.44040000000001</v>
      </c>
      <c r="AB132">
        <f t="shared" ref="AB132:AB135" si="25">F132-Q132</f>
        <v>12.893300000000004</v>
      </c>
      <c r="AC132">
        <f t="shared" ref="AC132:AC135" si="26">G132-R132</f>
        <v>-2.1316E-51</v>
      </c>
      <c r="AD132">
        <f t="shared" ref="AD132:AD135" si="27">H132-S132</f>
        <v>-0.18260000000000001</v>
      </c>
      <c r="AE132">
        <f t="shared" ref="AE132:AE135" si="28">I132-T132</f>
        <v>0.21989999999999998</v>
      </c>
      <c r="AF132">
        <f t="shared" ref="AF132:AF135" si="29">J132-U132</f>
        <v>-0.16010000000000002</v>
      </c>
      <c r="AG132">
        <f t="shared" ref="AG132:AG135" si="30">K132-V132</f>
        <v>8.8000000000000023E-3</v>
      </c>
      <c r="AH132">
        <f t="shared" ref="AH132:AI135" si="31">L132-W132</f>
        <v>52.462700000000041</v>
      </c>
      <c r="AI132">
        <f t="shared" si="31"/>
        <v>3</v>
      </c>
    </row>
    <row r="133" spans="1:35" x14ac:dyDescent="0.25">
      <c r="A133">
        <v>82542</v>
      </c>
      <c r="B133" t="s">
        <v>111</v>
      </c>
      <c r="C133">
        <v>13965.0916</v>
      </c>
      <c r="D133">
        <v>-119.6735</v>
      </c>
      <c r="E133">
        <v>-286.35809999999998</v>
      </c>
      <c r="F133">
        <v>125.5309</v>
      </c>
      <c r="G133" s="1">
        <v>3.56E-122</v>
      </c>
      <c r="H133">
        <v>2.8999999999999998E-3</v>
      </c>
      <c r="I133">
        <v>0.81189999999999996</v>
      </c>
      <c r="J133">
        <v>4.4000000000000003E-3</v>
      </c>
      <c r="K133">
        <v>0.38519999999999999</v>
      </c>
      <c r="L133">
        <v>1406.1063999999999</v>
      </c>
      <c r="M133">
        <v>78</v>
      </c>
      <c r="N133">
        <v>13583.1266</v>
      </c>
      <c r="O133">
        <v>-80.7333</v>
      </c>
      <c r="P133">
        <v>-1509.4999</v>
      </c>
      <c r="Q133">
        <v>86.590699999999998</v>
      </c>
      <c r="R133" s="1">
        <v>7.6500000000000003E-117</v>
      </c>
      <c r="S133">
        <v>0.1016</v>
      </c>
      <c r="T133">
        <v>0.2417</v>
      </c>
      <c r="U133">
        <v>9.7799999999999998E-2</v>
      </c>
      <c r="V133">
        <v>0.43240000000000001</v>
      </c>
      <c r="W133">
        <v>1339.6604</v>
      </c>
      <c r="X133">
        <v>75</v>
      </c>
      <c r="Y133">
        <f t="shared" si="22"/>
        <v>381.96500000000015</v>
      </c>
      <c r="Z133">
        <f t="shared" si="23"/>
        <v>-38.940200000000004</v>
      </c>
      <c r="AA133">
        <f t="shared" si="24"/>
        <v>1223.1418000000001</v>
      </c>
      <c r="AB133">
        <f t="shared" si="25"/>
        <v>38.940200000000004</v>
      </c>
      <c r="AC133">
        <f t="shared" si="26"/>
        <v>-7.6499644000000007E-117</v>
      </c>
      <c r="AD133">
        <f t="shared" si="27"/>
        <v>-9.8699999999999996E-2</v>
      </c>
      <c r="AE133">
        <f t="shared" si="28"/>
        <v>0.57019999999999993</v>
      </c>
      <c r="AF133">
        <f t="shared" si="29"/>
        <v>-9.3399999999999997E-2</v>
      </c>
      <c r="AG133">
        <f t="shared" si="30"/>
        <v>-4.720000000000002E-2</v>
      </c>
      <c r="AH133">
        <f t="shared" si="31"/>
        <v>66.445999999999913</v>
      </c>
      <c r="AI133">
        <f t="shared" si="31"/>
        <v>3</v>
      </c>
    </row>
    <row r="134" spans="1:35" x14ac:dyDescent="0.25">
      <c r="A134">
        <v>92625</v>
      </c>
      <c r="B134" t="s">
        <v>112</v>
      </c>
      <c r="C134">
        <v>59.831800000000001</v>
      </c>
      <c r="D134">
        <v>-0.49359999999999998</v>
      </c>
      <c r="E134">
        <v>2.5242</v>
      </c>
      <c r="F134">
        <v>4.4775999999999998</v>
      </c>
      <c r="G134" s="1">
        <v>3.0100000000000001E-22</v>
      </c>
      <c r="H134">
        <v>0.193</v>
      </c>
      <c r="I134">
        <v>0.9244</v>
      </c>
      <c r="J134">
        <v>2.9700000000000001E-2</v>
      </c>
      <c r="K134">
        <v>0.27989999999999998</v>
      </c>
      <c r="L134">
        <v>932.70410000000004</v>
      </c>
      <c r="M134">
        <v>76</v>
      </c>
      <c r="N134">
        <v>58.026699999999998</v>
      </c>
      <c r="O134">
        <v>-0.20050000000000001</v>
      </c>
      <c r="P134">
        <v>-6.5282999999999998</v>
      </c>
      <c r="Q134">
        <v>4.1845999999999997</v>
      </c>
      <c r="R134" s="1">
        <v>4.5899999999999999E-22</v>
      </c>
      <c r="S134">
        <v>0.52449999999999997</v>
      </c>
      <c r="T134">
        <v>0.79979999999999996</v>
      </c>
      <c r="U134">
        <v>4.1000000000000002E-2</v>
      </c>
      <c r="V134">
        <v>0.26590000000000003</v>
      </c>
      <c r="W134">
        <v>899.60569999999996</v>
      </c>
      <c r="X134">
        <v>75</v>
      </c>
      <c r="Y134">
        <f t="shared" si="22"/>
        <v>1.805100000000003</v>
      </c>
      <c r="Z134">
        <f t="shared" si="23"/>
        <v>-0.29309999999999997</v>
      </c>
      <c r="AA134">
        <f t="shared" si="24"/>
        <v>9.0525000000000002</v>
      </c>
      <c r="AB134">
        <f t="shared" si="25"/>
        <v>0.29300000000000015</v>
      </c>
      <c r="AC134">
        <f t="shared" si="26"/>
        <v>-1.5799999999999998E-22</v>
      </c>
      <c r="AD134">
        <f t="shared" si="27"/>
        <v>-0.33149999999999996</v>
      </c>
      <c r="AE134">
        <f t="shared" si="28"/>
        <v>0.12460000000000004</v>
      </c>
      <c r="AF134">
        <f t="shared" si="29"/>
        <v>-1.1300000000000001E-2</v>
      </c>
      <c r="AG134">
        <f t="shared" si="30"/>
        <v>1.3999999999999957E-2</v>
      </c>
      <c r="AH134">
        <f t="shared" si="31"/>
        <v>33.098400000000083</v>
      </c>
      <c r="AI134">
        <f t="shared" si="31"/>
        <v>1</v>
      </c>
    </row>
    <row r="135" spans="1:35" x14ac:dyDescent="0.25">
      <c r="A135">
        <v>62270</v>
      </c>
      <c r="B135" t="s">
        <v>113</v>
      </c>
      <c r="C135">
        <v>404.79430000000002</v>
      </c>
      <c r="D135">
        <v>-9.9278999999999993</v>
      </c>
      <c r="E135">
        <v>0.81210000000000004</v>
      </c>
      <c r="F135">
        <v>8.6728000000000005</v>
      </c>
      <c r="G135" s="1">
        <v>1.9100000000000001E-25</v>
      </c>
      <c r="H135" s="1">
        <v>4.73E-9</v>
      </c>
      <c r="I135">
        <v>0.97889999999999999</v>
      </c>
      <c r="J135" s="1">
        <v>3.8799999999999998E-7</v>
      </c>
      <c r="K135">
        <v>0.80479999999999996</v>
      </c>
      <c r="L135">
        <v>878.13080000000002</v>
      </c>
      <c r="M135">
        <v>70</v>
      </c>
      <c r="N135">
        <v>401.77539999999999</v>
      </c>
      <c r="O135">
        <v>-9.5427999999999997</v>
      </c>
      <c r="P135">
        <v>-38.277500000000003</v>
      </c>
      <c r="Q135">
        <v>8.2875999999999994</v>
      </c>
      <c r="R135" s="1">
        <v>5.6999999999999999E-23</v>
      </c>
      <c r="S135" s="1">
        <v>2.6900000000000001E-6</v>
      </c>
      <c r="T135">
        <v>0.27010000000000001</v>
      </c>
      <c r="U135" s="1">
        <v>5.1900000000000001E-5</v>
      </c>
      <c r="V135">
        <v>0.81440000000000001</v>
      </c>
      <c r="W135">
        <v>842.65679999999998</v>
      </c>
      <c r="X135">
        <v>67</v>
      </c>
      <c r="Y135">
        <f t="shared" si="22"/>
        <v>3.0189000000000306</v>
      </c>
      <c r="Z135">
        <f t="shared" si="23"/>
        <v>-0.38509999999999955</v>
      </c>
      <c r="AA135">
        <f t="shared" si="24"/>
        <v>39.089600000000004</v>
      </c>
      <c r="AB135">
        <f t="shared" si="25"/>
        <v>0.3852000000000011</v>
      </c>
      <c r="AC135">
        <f t="shared" si="26"/>
        <v>-5.6808999999999997E-23</v>
      </c>
      <c r="AD135">
        <f t="shared" si="27"/>
        <v>-2.68527E-6</v>
      </c>
      <c r="AE135">
        <f t="shared" si="28"/>
        <v>0.70879999999999999</v>
      </c>
      <c r="AF135">
        <f t="shared" si="29"/>
        <v>-5.1512000000000004E-5</v>
      </c>
      <c r="AG135">
        <f t="shared" si="30"/>
        <v>-9.6000000000000529E-3</v>
      </c>
      <c r="AH135">
        <f t="shared" si="31"/>
        <v>35.474000000000046</v>
      </c>
      <c r="AI135">
        <f t="shared" si="31"/>
        <v>3</v>
      </c>
    </row>
    <row r="175" spans="2:2" x14ac:dyDescent="0.25">
      <c r="B175" s="3"/>
    </row>
  </sheetData>
  <mergeCells count="5">
    <mergeCell ref="C1:M1"/>
    <mergeCell ref="N1:X1"/>
    <mergeCell ref="A1:A2"/>
    <mergeCell ref="B1:B2"/>
    <mergeCell ref="Y1:AI1"/>
  </mergeCells>
  <conditionalFormatting sqref="A3:A13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combined_robust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Izrailov</cp:lastModifiedBy>
  <dcterms:created xsi:type="dcterms:W3CDTF">2026-04-15T22:59:16Z</dcterms:created>
  <dcterms:modified xsi:type="dcterms:W3CDTF">2026-04-15T23:32:17Z</dcterms:modified>
</cp:coreProperties>
</file>