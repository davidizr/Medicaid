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10000001_{E14B39AD-EDB3-4103-98A3-D4728BE19E4B}" xr6:coauthVersionLast="47" xr6:coauthVersionMax="47" xr10:uidLastSave="{00000000-0000-0000-0000-000000000000}"/>
  <bookViews>
    <workbookView xWindow="-120" yWindow="-120" windowWidth="38640" windowHeight="21120" tabRatio="921" xr2:uid="{00000000-000D-0000-FFFF-FFFF00000000}"/>
  </bookViews>
  <sheets>
    <sheet name="Combined" sheetId="86" r:id="rId1"/>
    <sheet name="January-2018" sheetId="5" r:id="rId2"/>
    <sheet name="February-2018" sheetId="6" r:id="rId3"/>
    <sheet name="March-2018" sheetId="7" r:id="rId4"/>
    <sheet name="April-2018" sheetId="8" r:id="rId5"/>
    <sheet name="May-2018" sheetId="9" r:id="rId6"/>
    <sheet name="June-2018" sheetId="10" r:id="rId7"/>
    <sheet name="July-2018" sheetId="11" r:id="rId8"/>
    <sheet name="August-2018" sheetId="12" r:id="rId9"/>
    <sheet name="September-2018" sheetId="13" r:id="rId10"/>
    <sheet name="October-2018" sheetId="14" r:id="rId11"/>
    <sheet name="November-2018" sheetId="15" r:id="rId12"/>
    <sheet name="December-2018" sheetId="16" r:id="rId13"/>
    <sheet name="January-2019" sheetId="17" r:id="rId14"/>
    <sheet name="February-2019" sheetId="18" r:id="rId15"/>
    <sheet name="March-2019" sheetId="19" r:id="rId16"/>
    <sheet name="April-2019" sheetId="20" r:id="rId17"/>
    <sheet name="May-2019" sheetId="21" r:id="rId18"/>
    <sheet name="June-2019" sheetId="22" r:id="rId19"/>
    <sheet name="July-2019" sheetId="23" r:id="rId20"/>
    <sheet name="August-2019" sheetId="24" r:id="rId21"/>
    <sheet name="September-2019" sheetId="25" r:id="rId22"/>
    <sheet name="October-2019" sheetId="26" r:id="rId23"/>
    <sheet name="November-2019" sheetId="27" r:id="rId24"/>
    <sheet name="December-2019" sheetId="28" r:id="rId25"/>
    <sheet name="January-2020" sheetId="29" r:id="rId26"/>
    <sheet name="February-2020" sheetId="30" r:id="rId27"/>
    <sheet name="March-2020" sheetId="31" r:id="rId28"/>
    <sheet name="April-2020" sheetId="32" r:id="rId29"/>
    <sheet name="May-2020" sheetId="33" r:id="rId30"/>
    <sheet name="June-2020" sheetId="34" r:id="rId31"/>
    <sheet name="July-2020" sheetId="35" r:id="rId32"/>
    <sheet name="August-2020" sheetId="36" r:id="rId33"/>
    <sheet name="September-2020" sheetId="37" r:id="rId34"/>
    <sheet name="October-2020" sheetId="38" r:id="rId35"/>
    <sheet name="November-2020" sheetId="39" r:id="rId36"/>
    <sheet name="December-2020" sheetId="40" r:id="rId37"/>
    <sheet name="January-2021" sheetId="41" r:id="rId38"/>
    <sheet name="February-2021" sheetId="42" r:id="rId39"/>
    <sheet name="March-2021" sheetId="43" r:id="rId40"/>
    <sheet name="April-2021" sheetId="44" r:id="rId41"/>
    <sheet name="May-2021" sheetId="45" r:id="rId42"/>
    <sheet name="June-2021" sheetId="46" r:id="rId43"/>
    <sheet name="July-2021" sheetId="47" r:id="rId44"/>
    <sheet name="August-2021" sheetId="48" r:id="rId45"/>
    <sheet name="September-2021" sheetId="49" r:id="rId46"/>
    <sheet name="October-2021" sheetId="50" r:id="rId47"/>
    <sheet name="November-2021" sheetId="51" r:id="rId48"/>
    <sheet name="December-2021" sheetId="52" r:id="rId49"/>
    <sheet name="January-2022" sheetId="53" r:id="rId50"/>
    <sheet name="February-2022" sheetId="54" r:id="rId51"/>
    <sheet name="March-2022" sheetId="55" r:id="rId52"/>
    <sheet name="April-2022" sheetId="56" r:id="rId53"/>
    <sheet name="May-2022" sheetId="57" r:id="rId54"/>
    <sheet name="June-2022" sheetId="58" r:id="rId55"/>
    <sheet name="July-2022" sheetId="59" r:id="rId56"/>
    <sheet name="August-2022" sheetId="60" r:id="rId57"/>
    <sheet name="September-2022" sheetId="61" r:id="rId58"/>
    <sheet name="October-2022" sheetId="62" r:id="rId59"/>
    <sheet name="November-2022" sheetId="63" r:id="rId60"/>
    <sheet name="December-2022" sheetId="64" r:id="rId61"/>
    <sheet name="January-2023" sheetId="65" r:id="rId62"/>
    <sheet name="February-2023" sheetId="66" r:id="rId63"/>
    <sheet name="March-2023" sheetId="67" r:id="rId64"/>
    <sheet name="April-2023" sheetId="68" r:id="rId65"/>
    <sheet name="May-2023" sheetId="69" r:id="rId66"/>
    <sheet name="June-2023" sheetId="70" r:id="rId67"/>
    <sheet name="July-2023" sheetId="71" r:id="rId68"/>
    <sheet name="August-2023" sheetId="72" r:id="rId69"/>
    <sheet name="September-2023" sheetId="73" r:id="rId70"/>
    <sheet name="October-2023" sheetId="74" r:id="rId71"/>
    <sheet name="November-2023" sheetId="75" r:id="rId72"/>
    <sheet name="December-2023" sheetId="76" r:id="rId73"/>
    <sheet name="January-2024" sheetId="77" r:id="rId74"/>
    <sheet name="February-2024" sheetId="78" r:id="rId75"/>
    <sheet name="March-2024" sheetId="79" r:id="rId76"/>
    <sheet name="April-2024" sheetId="80" r:id="rId77"/>
    <sheet name="May-2024" sheetId="81" r:id="rId78"/>
    <sheet name="June-2024" sheetId="82" r:id="rId79"/>
    <sheet name="July-2024" sheetId="83" r:id="rId80"/>
    <sheet name="August-2024" sheetId="84" r:id="rId81"/>
    <sheet name="September-2024" sheetId="85" r:id="rId82"/>
  </sheets>
  <definedNames>
    <definedName name="_xlnm.Print_Area" localSheetId="16">'April-2019'!$A$1:$E$89</definedName>
    <definedName name="_xlnm.Print_Area" localSheetId="28">'April-2020'!$A$1:$E$89</definedName>
    <definedName name="_xlnm.Print_Area" localSheetId="40">'April-2021'!$A$1:$E$89</definedName>
    <definedName name="_xlnm.Print_Area" localSheetId="52">'April-2022'!$A$1:$E$89</definedName>
    <definedName name="_xlnm.Print_Area" localSheetId="64">'April-2023'!$A$1:$E$90</definedName>
    <definedName name="_xlnm.Print_Area" localSheetId="76">'April-2024'!$A$1:$E$89</definedName>
    <definedName name="_xlnm.Print_Area" localSheetId="8">'August-2018'!$A$1:$E$89</definedName>
    <definedName name="_xlnm.Print_Area" localSheetId="20">'August-2019'!$A$1:$E$82</definedName>
    <definedName name="_xlnm.Print_Area" localSheetId="32">'August-2020'!$A$1:$E$89</definedName>
    <definedName name="_xlnm.Print_Area" localSheetId="44">'August-2021'!$A$1:$E$89</definedName>
    <definedName name="_xlnm.Print_Area" localSheetId="56">'August-2022'!$A$1:$E$89</definedName>
    <definedName name="_xlnm.Print_Area" localSheetId="68">'August-2023'!$A$1:$E$89</definedName>
    <definedName name="_xlnm.Print_Area" localSheetId="80">'August-2024'!$A$1:$E$89</definedName>
    <definedName name="_xlnm.Print_Area" localSheetId="12">'December-2018'!$A$1:$E$89</definedName>
    <definedName name="_xlnm.Print_Area" localSheetId="24">'December-2019'!$A$1:$E$82</definedName>
    <definedName name="_xlnm.Print_Area" localSheetId="36">'December-2020'!$A$1:$E$82</definedName>
    <definedName name="_xlnm.Print_Area" localSheetId="48">'December-2021'!$A$1:$E$89</definedName>
    <definedName name="_xlnm.Print_Area" localSheetId="60">'December-2022'!$A$1:$E$89</definedName>
    <definedName name="_xlnm.Print_Area" localSheetId="72">'December-2023'!$A$1:$E$89</definedName>
    <definedName name="_xlnm.Print_Area" localSheetId="14">'February-2019'!$A$1:$E$89</definedName>
    <definedName name="_xlnm.Print_Area" localSheetId="26">'February-2020'!$A$1:$E$82</definedName>
    <definedName name="_xlnm.Print_Area" localSheetId="38">'February-2021'!$A$1:$E$89</definedName>
    <definedName name="_xlnm.Print_Area" localSheetId="50">'February-2022'!$A$1:$E$89</definedName>
    <definedName name="_xlnm.Print_Area" localSheetId="62">'February-2023'!$A$1:$E$89</definedName>
    <definedName name="_xlnm.Print_Area" localSheetId="74">'February-2024'!$A$7:$E$64</definedName>
    <definedName name="_xlnm.Print_Area" localSheetId="13">'January-2019'!$A$1:$E$89</definedName>
    <definedName name="_xlnm.Print_Area" localSheetId="25">'January-2020'!$A$1:$E$82</definedName>
    <definedName name="_xlnm.Print_Area" localSheetId="37">'January-2021'!$A$1:$E$89</definedName>
    <definedName name="_xlnm.Print_Area" localSheetId="49">'January-2022'!$A$1:$E$90</definedName>
    <definedName name="_xlnm.Print_Area" localSheetId="61">'January-2023'!$A$1:$E$89</definedName>
    <definedName name="_xlnm.Print_Area" localSheetId="73">'January-2024'!$A$7:$E$64</definedName>
    <definedName name="_xlnm.Print_Area" localSheetId="7">'July-2018'!$A$1:$E$89</definedName>
    <definedName name="_xlnm.Print_Area" localSheetId="19">'July-2019'!$A$1:$E$82</definedName>
    <definedName name="_xlnm.Print_Area" localSheetId="31">'July-2020'!$A$1:$E$89</definedName>
    <definedName name="_xlnm.Print_Area" localSheetId="43">'July-2021'!$A$1:$E$89</definedName>
    <definedName name="_xlnm.Print_Area" localSheetId="55">'July-2022'!$A$1:$E$89</definedName>
    <definedName name="_xlnm.Print_Area" localSheetId="67">'July-2023'!$A$1:$E$89</definedName>
    <definedName name="_xlnm.Print_Area" localSheetId="79">'July-2024'!$A$1:$E$89</definedName>
    <definedName name="_xlnm.Print_Area" localSheetId="18">'June-2019'!$A$1:$E$89</definedName>
    <definedName name="_xlnm.Print_Area" localSheetId="30">'June-2020'!$A$1:$E$89</definedName>
    <definedName name="_xlnm.Print_Area" localSheetId="42">'June-2021'!$A$1:$E$89</definedName>
    <definedName name="_xlnm.Print_Area" localSheetId="54">'June-2022'!$A$1:$E$89</definedName>
    <definedName name="_xlnm.Print_Area" localSheetId="66">'June-2023'!$A$1:$E$90</definedName>
    <definedName name="_xlnm.Print_Area" localSheetId="78">'June-2024'!$A$1:$E$89</definedName>
    <definedName name="_xlnm.Print_Area" localSheetId="15">'March-2019'!$A$1:$E$89</definedName>
    <definedName name="_xlnm.Print_Area" localSheetId="27">'March-2020'!$A$1:$E$82</definedName>
    <definedName name="_xlnm.Print_Area" localSheetId="39">'March-2021'!$A$1:$E$89</definedName>
    <definedName name="_xlnm.Print_Area" localSheetId="51">'March-2022'!$A$1:$E$89</definedName>
    <definedName name="_xlnm.Print_Area" localSheetId="63">'March-2023'!$A$1:$E$89</definedName>
    <definedName name="_xlnm.Print_Area" localSheetId="75">'March-2024'!$A$7:$E$64</definedName>
    <definedName name="_xlnm.Print_Area" localSheetId="17">'May-2019'!$A$1:$E$89</definedName>
    <definedName name="_xlnm.Print_Area" localSheetId="29">'May-2020'!$A$1:$E$89</definedName>
    <definedName name="_xlnm.Print_Area" localSheetId="41">'May-2021'!$A$1:$E$89</definedName>
    <definedName name="_xlnm.Print_Area" localSheetId="53">'May-2022'!$A$1:$E$89</definedName>
    <definedName name="_xlnm.Print_Area" localSheetId="65">'May-2023'!$A$1:$E$90</definedName>
    <definedName name="_xlnm.Print_Area" localSheetId="77">'May-2024'!$A$1:$E$89</definedName>
    <definedName name="_xlnm.Print_Area" localSheetId="11">'November-2018'!$A$1:$E$89</definedName>
    <definedName name="_xlnm.Print_Area" localSheetId="23">'November-2019'!$A$1:$E$82</definedName>
    <definedName name="_xlnm.Print_Area" localSheetId="35">'November-2020'!$A$1:$E$83</definedName>
    <definedName name="_xlnm.Print_Area" localSheetId="47">'November-2021'!$A$1:$E$89</definedName>
    <definedName name="_xlnm.Print_Area" localSheetId="59">'November-2022'!$A$1:$E$89</definedName>
    <definedName name="_xlnm.Print_Area" localSheetId="71">'November-2023'!$A$1:$E$89</definedName>
    <definedName name="_xlnm.Print_Area" localSheetId="10">'October-2018'!$A$1:$E$89</definedName>
    <definedName name="_xlnm.Print_Area" localSheetId="22">'October-2019'!$A$1:$E$82</definedName>
    <definedName name="_xlnm.Print_Area" localSheetId="34">'October-2020'!$A$1:$E$82</definedName>
    <definedName name="_xlnm.Print_Area" localSheetId="46">'October-2021'!$A$1:$E$89</definedName>
    <definedName name="_xlnm.Print_Area" localSheetId="58">'October-2022'!$A$1:$E$89</definedName>
    <definedName name="_xlnm.Print_Area" localSheetId="70">'October-2023'!$A$1:$E$89</definedName>
    <definedName name="_xlnm.Print_Area" localSheetId="9">'September-2018'!$A$1:$E$89</definedName>
    <definedName name="_xlnm.Print_Area" localSheetId="21">'September-2019'!$A$1:$E$82</definedName>
    <definedName name="_xlnm.Print_Area" localSheetId="33">'September-2020'!$A$1:$E$89</definedName>
    <definedName name="_xlnm.Print_Area" localSheetId="45">'September-2021'!$A$1:$E$89</definedName>
    <definedName name="_xlnm.Print_Area" localSheetId="57">'September-2022'!$A$1:$E$89</definedName>
    <definedName name="_xlnm.Print_Area" localSheetId="69">'September-2023'!$A$1:$E$89</definedName>
    <definedName name="_xlnm.Print_Area" localSheetId="81">'September-2024'!$A$1:$E$89</definedName>
    <definedName name="_xlnm.Print_Titles" localSheetId="4">'April-2018'!1:6</definedName>
    <definedName name="_xlnm.Print_Titles" localSheetId="16">'April-2019'!1:6</definedName>
    <definedName name="_xlnm.Print_Titles" localSheetId="28">'April-2020'!1:6</definedName>
    <definedName name="_xlnm.Print_Titles" localSheetId="40">'April-2021'!1:6</definedName>
    <definedName name="_xlnm.Print_Titles" localSheetId="52">'April-2022'!1:6</definedName>
    <definedName name="_xlnm.Print_Titles" localSheetId="64">'April-2023'!1:6</definedName>
    <definedName name="_xlnm.Print_Titles" localSheetId="76">'April-2024'!1:6</definedName>
    <definedName name="_xlnm.Print_Titles" localSheetId="8">'August-2018'!1:6</definedName>
    <definedName name="_xlnm.Print_Titles" localSheetId="20">'August-2019'!1:6</definedName>
    <definedName name="_xlnm.Print_Titles" localSheetId="32">'August-2020'!1:6</definedName>
    <definedName name="_xlnm.Print_Titles" localSheetId="44">'August-2021'!1:6</definedName>
    <definedName name="_xlnm.Print_Titles" localSheetId="56">'August-2022'!1:6</definedName>
    <definedName name="_xlnm.Print_Titles" localSheetId="68">'August-2023'!1:6</definedName>
    <definedName name="_xlnm.Print_Titles" localSheetId="80">'August-2024'!1:6</definedName>
    <definedName name="_xlnm.Print_Titles" localSheetId="12">'December-2018'!1:6</definedName>
    <definedName name="_xlnm.Print_Titles" localSheetId="24">'December-2019'!1:6</definedName>
    <definedName name="_xlnm.Print_Titles" localSheetId="36">'December-2020'!1:6</definedName>
    <definedName name="_xlnm.Print_Titles" localSheetId="48">'December-2021'!1:6</definedName>
    <definedName name="_xlnm.Print_Titles" localSheetId="60">'December-2022'!1:6</definedName>
    <definedName name="_xlnm.Print_Titles" localSheetId="72">'December-2023'!1:6</definedName>
    <definedName name="_xlnm.Print_Titles" localSheetId="2">'February-2018'!1:6</definedName>
    <definedName name="_xlnm.Print_Titles" localSheetId="14">'February-2019'!1:6</definedName>
    <definedName name="_xlnm.Print_Titles" localSheetId="26">'February-2020'!1:6</definedName>
    <definedName name="_xlnm.Print_Titles" localSheetId="38">'February-2021'!1:6</definedName>
    <definedName name="_xlnm.Print_Titles" localSheetId="50">'February-2022'!1:6</definedName>
    <definedName name="_xlnm.Print_Titles" localSheetId="62">'February-2023'!1:6</definedName>
    <definedName name="_xlnm.Print_Titles" localSheetId="74">'February-2024'!1:6</definedName>
    <definedName name="_xlnm.Print_Titles" localSheetId="1">'January-2018'!1:6</definedName>
    <definedName name="_xlnm.Print_Titles" localSheetId="13">'January-2019'!1:6</definedName>
    <definedName name="_xlnm.Print_Titles" localSheetId="25">'January-2020'!1:6</definedName>
    <definedName name="_xlnm.Print_Titles" localSheetId="37">'January-2021'!1:6</definedName>
    <definedName name="_xlnm.Print_Titles" localSheetId="49">'January-2022'!1:6</definedName>
    <definedName name="_xlnm.Print_Titles" localSheetId="61">'January-2023'!1:6</definedName>
    <definedName name="_xlnm.Print_Titles" localSheetId="73">'January-2024'!1:6</definedName>
    <definedName name="_xlnm.Print_Titles" localSheetId="7">'July-2018'!1:6</definedName>
    <definedName name="_xlnm.Print_Titles" localSheetId="19">'July-2019'!1:6</definedName>
    <definedName name="_xlnm.Print_Titles" localSheetId="31">'July-2020'!1:6</definedName>
    <definedName name="_xlnm.Print_Titles" localSheetId="43">'July-2021'!1:6</definedName>
    <definedName name="_xlnm.Print_Titles" localSheetId="55">'July-2022'!1:6</definedName>
    <definedName name="_xlnm.Print_Titles" localSheetId="67">'July-2023'!1:6</definedName>
    <definedName name="_xlnm.Print_Titles" localSheetId="79">'July-2024'!1:6</definedName>
    <definedName name="_xlnm.Print_Titles" localSheetId="6">'June-2018'!1:6</definedName>
    <definedName name="_xlnm.Print_Titles" localSheetId="18">'June-2019'!1:6</definedName>
    <definedName name="_xlnm.Print_Titles" localSheetId="30">'June-2020'!1:6</definedName>
    <definedName name="_xlnm.Print_Titles" localSheetId="42">'June-2021'!1:6</definedName>
    <definedName name="_xlnm.Print_Titles" localSheetId="54">'June-2022'!1:6</definedName>
    <definedName name="_xlnm.Print_Titles" localSheetId="66">'June-2023'!1:6</definedName>
    <definedName name="_xlnm.Print_Titles" localSheetId="78">'June-2024'!1:6</definedName>
    <definedName name="_xlnm.Print_Titles" localSheetId="3">'March-2018'!1:6</definedName>
    <definedName name="_xlnm.Print_Titles" localSheetId="15">'March-2019'!1:6</definedName>
    <definedName name="_xlnm.Print_Titles" localSheetId="27">'March-2020'!1:6</definedName>
    <definedName name="_xlnm.Print_Titles" localSheetId="39">'March-2021'!1:6</definedName>
    <definedName name="_xlnm.Print_Titles" localSheetId="51">'March-2022'!1:6</definedName>
    <definedName name="_xlnm.Print_Titles" localSheetId="63">'March-2023'!1:6</definedName>
    <definedName name="_xlnm.Print_Titles" localSheetId="75">'March-2024'!1:6</definedName>
    <definedName name="_xlnm.Print_Titles" localSheetId="5">'May-2018'!1:6</definedName>
    <definedName name="_xlnm.Print_Titles" localSheetId="17">'May-2019'!1:6</definedName>
    <definedName name="_xlnm.Print_Titles" localSheetId="29">'May-2020'!1:6</definedName>
    <definedName name="_xlnm.Print_Titles" localSheetId="41">'May-2021'!1:6</definedName>
    <definedName name="_xlnm.Print_Titles" localSheetId="53">'May-2022'!1:6</definedName>
    <definedName name="_xlnm.Print_Titles" localSheetId="65">'May-2023'!1:6</definedName>
    <definedName name="_xlnm.Print_Titles" localSheetId="77">'May-2024'!1:6</definedName>
    <definedName name="_xlnm.Print_Titles" localSheetId="11">'November-2018'!1:6</definedName>
    <definedName name="_xlnm.Print_Titles" localSheetId="23">'November-2019'!1:6</definedName>
    <definedName name="_xlnm.Print_Titles" localSheetId="35">'November-2020'!1:6</definedName>
    <definedName name="_xlnm.Print_Titles" localSheetId="47">'November-2021'!1:6</definedName>
    <definedName name="_xlnm.Print_Titles" localSheetId="59">'November-2022'!1:6</definedName>
    <definedName name="_xlnm.Print_Titles" localSheetId="71">'November-2023'!1:6</definedName>
    <definedName name="_xlnm.Print_Titles" localSheetId="10">'October-2018'!1:6</definedName>
    <definedName name="_xlnm.Print_Titles" localSheetId="22">'October-2019'!1:6</definedName>
    <definedName name="_xlnm.Print_Titles" localSheetId="34">'October-2020'!1:6</definedName>
    <definedName name="_xlnm.Print_Titles" localSheetId="46">'October-2021'!1:6</definedName>
    <definedName name="_xlnm.Print_Titles" localSheetId="58">'October-2022'!1:6</definedName>
    <definedName name="_xlnm.Print_Titles" localSheetId="70">'October-2023'!1:6</definedName>
    <definedName name="_xlnm.Print_Titles" localSheetId="9">'September-2018'!1:6</definedName>
    <definedName name="_xlnm.Print_Titles" localSheetId="21">'September-2019'!1:6</definedName>
    <definedName name="_xlnm.Print_Titles" localSheetId="33">'September-2020'!1:6</definedName>
    <definedName name="_xlnm.Print_Titles" localSheetId="45">'September-2021'!1:6</definedName>
    <definedName name="_xlnm.Print_Titles" localSheetId="57">'September-2022'!1:6</definedName>
    <definedName name="_xlnm.Print_Titles" localSheetId="69">'September-2023'!1:6</definedName>
    <definedName name="_xlnm.Print_Titles" localSheetId="81">'September-2024'!1:6</definedName>
    <definedName name="TitleRegion1.A6.E63.1">#REF!</definedName>
    <definedName name="TitleRegion1.A6.E63.10">#REF!</definedName>
    <definedName name="TitleRegion1.A6.E63.11">#REF!</definedName>
    <definedName name="TitleRegion1.A6.E63.12">#REF!</definedName>
    <definedName name="TitleRegion1.A6.E63.13">#REF!</definedName>
    <definedName name="TitleRegion1.A6.E63.2">#REF!</definedName>
    <definedName name="TitleRegion1.A6.E63.3">#REF!</definedName>
    <definedName name="TitleRegion1.A6.E63.4">'January-2018'!$A$7:$A$7</definedName>
    <definedName name="TitleRegion1.A6.E63.5">'February-2018'!$A$7:$A$7</definedName>
    <definedName name="TitleRegion1.A6.E63.6">'March-2018'!$A$7:$A$7</definedName>
    <definedName name="TitleRegion1.A6.E63.7">#REF!</definedName>
    <definedName name="TitleRegion1.A6.E63.8">#REF!</definedName>
    <definedName name="TitleRegion1.A6.E63.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85" l="1"/>
  <c r="D64" i="85"/>
  <c r="C64" i="85"/>
  <c r="B64" i="85"/>
  <c r="E64" i="84"/>
  <c r="D64" i="84"/>
  <c r="C64" i="84"/>
  <c r="B64" i="84"/>
  <c r="E64" i="83"/>
  <c r="D64" i="83"/>
  <c r="C64" i="83"/>
  <c r="B64" i="83"/>
  <c r="E64" i="82"/>
  <c r="D64" i="82"/>
  <c r="C64" i="82"/>
  <c r="B64" i="82"/>
  <c r="E64" i="81"/>
  <c r="D64" i="81"/>
  <c r="C64" i="81"/>
  <c r="B64" i="81"/>
  <c r="E64" i="80"/>
  <c r="D64" i="80"/>
  <c r="C64" i="80"/>
  <c r="B64" i="80"/>
  <c r="E64" i="79"/>
  <c r="D64" i="79"/>
  <c r="C64" i="79"/>
  <c r="B64" i="79"/>
  <c r="E64" i="78"/>
  <c r="D64" i="78"/>
  <c r="C64" i="78"/>
  <c r="B64" i="78"/>
  <c r="E64" i="77"/>
  <c r="D64" i="77"/>
  <c r="C64" i="77"/>
  <c r="B64" i="77"/>
  <c r="E64" i="76"/>
  <c r="D64" i="76"/>
  <c r="C64" i="76"/>
  <c r="B64" i="76"/>
  <c r="E64" i="75"/>
  <c r="D64" i="75"/>
  <c r="C64" i="75"/>
  <c r="B64" i="75"/>
  <c r="E64" i="74"/>
  <c r="D64" i="74"/>
  <c r="C64" i="74"/>
  <c r="B64" i="74"/>
  <c r="E64" i="73"/>
  <c r="D64" i="73"/>
  <c r="C64" i="73"/>
  <c r="B64" i="73"/>
  <c r="E64" i="72"/>
  <c r="D64" i="72"/>
  <c r="C64" i="72"/>
  <c r="B64" i="72"/>
  <c r="E64" i="71"/>
  <c r="D64" i="71"/>
  <c r="C64" i="71"/>
  <c r="B64" i="71"/>
  <c r="E64" i="70"/>
  <c r="D64" i="70"/>
  <c r="C64" i="70"/>
  <c r="B64" i="70"/>
  <c r="E64" i="69"/>
  <c r="D64" i="69"/>
  <c r="C64" i="69"/>
  <c r="B64" i="69"/>
  <c r="E64" i="68"/>
  <c r="D64" i="68"/>
  <c r="C64" i="68"/>
  <c r="B64" i="68"/>
  <c r="E64" i="67"/>
  <c r="D64" i="67"/>
  <c r="C64" i="67"/>
  <c r="B64" i="67"/>
  <c r="E64" i="66"/>
  <c r="D64" i="66"/>
  <c r="C64" i="66"/>
  <c r="B64" i="66"/>
  <c r="E64" i="65"/>
  <c r="D64" i="65"/>
  <c r="C64" i="65"/>
  <c r="B64" i="65"/>
  <c r="E64" i="64"/>
  <c r="D64" i="64"/>
  <c r="C64" i="64"/>
  <c r="B64" i="64"/>
  <c r="E64" i="63"/>
  <c r="D64" i="63"/>
  <c r="C64" i="63"/>
  <c r="B64" i="63"/>
  <c r="E64" i="62"/>
  <c r="D64" i="62"/>
  <c r="C64" i="62"/>
  <c r="B64" i="62"/>
  <c r="E64" i="61"/>
  <c r="D64" i="61"/>
  <c r="C64" i="61"/>
  <c r="B64" i="61"/>
  <c r="E64" i="60"/>
  <c r="D64" i="60"/>
  <c r="C64" i="60"/>
  <c r="B64" i="60"/>
  <c r="E64" i="59"/>
  <c r="D64" i="59"/>
  <c r="C64" i="59"/>
  <c r="B64" i="59"/>
  <c r="E64" i="58"/>
  <c r="D64" i="58"/>
  <c r="C64" i="58"/>
  <c r="B64" i="58"/>
  <c r="E64" i="57"/>
  <c r="D64" i="57"/>
  <c r="C64" i="57"/>
  <c r="B64" i="57"/>
  <c r="E64" i="56"/>
  <c r="D64" i="56"/>
  <c r="C64" i="56"/>
  <c r="B64" i="56"/>
  <c r="E64" i="55"/>
  <c r="D64" i="55"/>
  <c r="C64" i="55"/>
  <c r="B64" i="55"/>
  <c r="E64" i="54"/>
  <c r="D64" i="54"/>
  <c r="C64" i="54"/>
  <c r="B64" i="54"/>
  <c r="E64" i="53"/>
  <c r="D64" i="53"/>
  <c r="C64" i="53"/>
  <c r="B64" i="53"/>
  <c r="E64" i="52"/>
  <c r="D64" i="52"/>
  <c r="C64" i="52"/>
  <c r="B64" i="52"/>
  <c r="E64" i="51"/>
  <c r="D64" i="51"/>
  <c r="C64" i="51"/>
  <c r="B64" i="51"/>
  <c r="E64" i="50"/>
  <c r="D64" i="50"/>
  <c r="C64" i="50"/>
  <c r="B64" i="50"/>
  <c r="E64" i="49"/>
  <c r="D64" i="49"/>
  <c r="C64" i="49"/>
  <c r="B64" i="49"/>
  <c r="E64" i="48"/>
  <c r="D64" i="48"/>
  <c r="C64" i="48"/>
  <c r="B64" i="48"/>
  <c r="E64" i="47"/>
  <c r="D64" i="47"/>
  <c r="C64" i="47"/>
  <c r="B64" i="47"/>
  <c r="E64" i="46"/>
  <c r="D64" i="46"/>
  <c r="C64" i="46"/>
  <c r="B64" i="46"/>
  <c r="E64" i="45"/>
  <c r="D64" i="45"/>
  <c r="C64" i="45"/>
  <c r="B64" i="45"/>
  <c r="E64" i="44"/>
  <c r="D64" i="44"/>
  <c r="C64" i="44"/>
  <c r="B64" i="44"/>
  <c r="E64" i="43"/>
  <c r="D64" i="43"/>
  <c r="C64" i="43"/>
  <c r="B64" i="43"/>
  <c r="E64" i="42"/>
  <c r="D64" i="42"/>
  <c r="C64" i="42"/>
  <c r="B64" i="42"/>
  <c r="E64" i="41"/>
  <c r="D64" i="41"/>
  <c r="C64" i="41"/>
  <c r="B64" i="41"/>
  <c r="E64" i="40"/>
  <c r="D64" i="40"/>
  <c r="C64" i="40"/>
  <c r="B64" i="40"/>
  <c r="E64" i="39"/>
  <c r="D64" i="39"/>
  <c r="C64" i="39"/>
  <c r="B64" i="39"/>
  <c r="E64" i="38"/>
  <c r="D64" i="38"/>
  <c r="C64" i="38"/>
  <c r="B64" i="38"/>
  <c r="E64" i="37"/>
  <c r="D64" i="37"/>
  <c r="C64" i="37"/>
  <c r="B64" i="37"/>
  <c r="E64" i="36"/>
  <c r="D64" i="36"/>
  <c r="C64" i="36"/>
  <c r="B64" i="36"/>
  <c r="E64" i="35"/>
  <c r="D64" i="35"/>
  <c r="C64" i="35"/>
  <c r="B64" i="35"/>
  <c r="E64" i="34"/>
  <c r="D64" i="34"/>
  <c r="C64" i="34"/>
  <c r="B64" i="34"/>
  <c r="E64" i="33"/>
  <c r="D64" i="33"/>
  <c r="C64" i="33"/>
  <c r="B64" i="33"/>
  <c r="E64" i="32"/>
  <c r="D64" i="32"/>
  <c r="C64" i="32"/>
  <c r="B64" i="32"/>
  <c r="E64" i="31"/>
  <c r="D64" i="31"/>
  <c r="C64" i="31"/>
  <c r="B64" i="31"/>
  <c r="E64" i="30"/>
  <c r="D64" i="30"/>
  <c r="C64" i="30"/>
  <c r="B64" i="30"/>
  <c r="E64" i="29"/>
  <c r="D64" i="29"/>
  <c r="C64" i="29"/>
  <c r="B64" i="29"/>
  <c r="E64" i="28"/>
  <c r="D64" i="28"/>
  <c r="C64" i="28"/>
  <c r="B64" i="28"/>
  <c r="E64" i="27"/>
  <c r="D64" i="27"/>
  <c r="C64" i="27"/>
  <c r="B64" i="27"/>
  <c r="E64" i="26"/>
  <c r="D64" i="26"/>
  <c r="C64" i="26"/>
  <c r="B64" i="26"/>
  <c r="E64" i="25"/>
  <c r="D64" i="25"/>
  <c r="C64" i="25"/>
  <c r="B64" i="25"/>
  <c r="E64" i="24"/>
  <c r="D64" i="24"/>
  <c r="C64" i="24"/>
  <c r="B64" i="24"/>
  <c r="E64" i="23"/>
  <c r="D64" i="23"/>
  <c r="C64" i="23"/>
  <c r="B64" i="23"/>
  <c r="E64" i="22"/>
  <c r="D64" i="22"/>
  <c r="C64" i="22"/>
  <c r="B64" i="22"/>
  <c r="E64" i="21"/>
  <c r="D64" i="21"/>
  <c r="C64" i="21"/>
  <c r="B64" i="21"/>
  <c r="E64" i="20"/>
  <c r="D64" i="20"/>
  <c r="C64" i="20"/>
  <c r="B64" i="20"/>
  <c r="E64" i="19"/>
  <c r="D64" i="19"/>
  <c r="C64" i="19"/>
  <c r="B64" i="19"/>
  <c r="E64" i="18"/>
  <c r="D64" i="18"/>
  <c r="C64" i="18"/>
  <c r="B64" i="18"/>
  <c r="E64" i="17"/>
  <c r="D64" i="17"/>
  <c r="C64" i="17"/>
  <c r="B64" i="17"/>
  <c r="E64" i="16"/>
  <c r="D64" i="16"/>
  <c r="C64" i="16"/>
  <c r="B64" i="16"/>
  <c r="E64" i="15"/>
  <c r="D64" i="15"/>
  <c r="C64" i="15"/>
  <c r="B64" i="15"/>
  <c r="E64" i="14"/>
  <c r="D64" i="14"/>
  <c r="C64" i="14"/>
  <c r="B64" i="14"/>
  <c r="E64" i="13"/>
  <c r="D64" i="13"/>
  <c r="C64" i="13"/>
  <c r="B64" i="13"/>
  <c r="E64" i="12"/>
  <c r="D64" i="12"/>
  <c r="C64" i="12"/>
  <c r="B64" i="12"/>
  <c r="E64" i="11"/>
  <c r="D64" i="11"/>
  <c r="C64" i="11"/>
  <c r="B64" i="11"/>
  <c r="E64" i="10"/>
  <c r="D64" i="10"/>
  <c r="C64" i="10"/>
  <c r="B64" i="10"/>
  <c r="E64" i="9"/>
  <c r="D64" i="9"/>
  <c r="C64" i="9"/>
  <c r="B64" i="9"/>
  <c r="E64" i="8"/>
  <c r="D64" i="8"/>
  <c r="C64" i="8"/>
  <c r="B64" i="8"/>
  <c r="E64" i="7"/>
  <c r="D64" i="7"/>
  <c r="C64" i="7"/>
  <c r="B64" i="7"/>
  <c r="E64" i="6"/>
  <c r="D64" i="6"/>
  <c r="C64" i="6"/>
  <c r="B64" i="6"/>
  <c r="E64" i="5"/>
  <c r="D64" i="5"/>
  <c r="C64" i="5"/>
  <c r="B64" i="5"/>
  <c r="E82" i="86"/>
  <c r="D82" i="86"/>
  <c r="C82" i="86"/>
  <c r="B82" i="86"/>
  <c r="E81" i="86"/>
  <c r="D81" i="86"/>
  <c r="C81" i="86"/>
  <c r="B81" i="86"/>
  <c r="E80" i="86"/>
  <c r="D80" i="86"/>
  <c r="C80" i="86"/>
  <c r="B80" i="86"/>
  <c r="E79" i="86"/>
  <c r="D79" i="86"/>
  <c r="C79" i="86"/>
  <c r="B79" i="86"/>
  <c r="E78" i="86"/>
  <c r="D78" i="86"/>
  <c r="C78" i="86"/>
  <c r="B78" i="86"/>
  <c r="E77" i="86"/>
  <c r="D77" i="86"/>
  <c r="C77" i="86"/>
  <c r="B77" i="86"/>
  <c r="E76" i="86"/>
  <c r="D76" i="86"/>
  <c r="C76" i="86"/>
  <c r="B76" i="86"/>
  <c r="E75" i="86"/>
  <c r="D75" i="86"/>
  <c r="C75" i="86"/>
  <c r="B75" i="86"/>
  <c r="E74" i="86"/>
  <c r="D74" i="86"/>
  <c r="C74" i="86"/>
  <c r="B74" i="86"/>
  <c r="E73" i="86"/>
  <c r="D73" i="86"/>
  <c r="C73" i="86"/>
  <c r="B73" i="86"/>
  <c r="E72" i="86"/>
  <c r="D72" i="86"/>
  <c r="C72" i="86"/>
  <c r="B72" i="86"/>
  <c r="E71" i="86"/>
  <c r="D71" i="86"/>
  <c r="C71" i="86"/>
  <c r="B71" i="86"/>
  <c r="E70" i="86"/>
  <c r="D70" i="86"/>
  <c r="C70" i="86"/>
  <c r="B70" i="86"/>
  <c r="E69" i="86"/>
  <c r="D69" i="86"/>
  <c r="C69" i="86"/>
  <c r="B69" i="86"/>
  <c r="E68" i="86"/>
  <c r="D68" i="86"/>
  <c r="C68" i="86"/>
  <c r="B68" i="86"/>
  <c r="E67" i="86"/>
  <c r="D67" i="86"/>
  <c r="C67" i="86"/>
  <c r="B67" i="86"/>
  <c r="E66" i="86"/>
  <c r="D66" i="86"/>
  <c r="C66" i="86"/>
  <c r="B66" i="86"/>
  <c r="E65" i="86"/>
  <c r="D65" i="86"/>
  <c r="C65" i="86"/>
  <c r="B65" i="86"/>
  <c r="E64" i="86"/>
  <c r="D64" i="86"/>
  <c r="C64" i="86"/>
  <c r="B64" i="86"/>
  <c r="E63" i="86"/>
  <c r="D63" i="86"/>
  <c r="C63" i="86"/>
  <c r="B63" i="86"/>
  <c r="E62" i="86"/>
  <c r="D62" i="86"/>
  <c r="C62" i="86"/>
  <c r="B62" i="86"/>
  <c r="E61" i="86"/>
  <c r="D61" i="86"/>
  <c r="C61" i="86"/>
  <c r="B61" i="86"/>
  <c r="E60" i="86"/>
  <c r="D60" i="86"/>
  <c r="C60" i="86"/>
  <c r="B60" i="86"/>
  <c r="E59" i="86"/>
  <c r="D59" i="86"/>
  <c r="C59" i="86"/>
  <c r="B59" i="86"/>
  <c r="E58" i="86"/>
  <c r="D58" i="86"/>
  <c r="C58" i="86"/>
  <c r="B58" i="86"/>
  <c r="E57" i="86"/>
  <c r="D57" i="86"/>
  <c r="C57" i="86"/>
  <c r="B57" i="86"/>
  <c r="E56" i="86"/>
  <c r="D56" i="86"/>
  <c r="C56" i="86"/>
  <c r="B56" i="86"/>
  <c r="E55" i="86"/>
  <c r="D55" i="86"/>
  <c r="C55" i="86"/>
  <c r="B55" i="86"/>
  <c r="E54" i="86"/>
  <c r="D54" i="86"/>
  <c r="C54" i="86"/>
  <c r="B54" i="86"/>
  <c r="E53" i="86"/>
  <c r="D53" i="86"/>
  <c r="C53" i="86"/>
  <c r="B53" i="86"/>
  <c r="E52" i="86"/>
  <c r="D52" i="86"/>
  <c r="C52" i="86"/>
  <c r="B52" i="86"/>
  <c r="E51" i="86"/>
  <c r="D51" i="86"/>
  <c r="C51" i="86"/>
  <c r="B51" i="86"/>
  <c r="E50" i="86"/>
  <c r="D50" i="86"/>
  <c r="C50" i="86"/>
  <c r="B50" i="86"/>
  <c r="E49" i="86"/>
  <c r="D49" i="86"/>
  <c r="C49" i="86"/>
  <c r="B49" i="86"/>
  <c r="E48" i="86"/>
  <c r="D48" i="86"/>
  <c r="C48" i="86"/>
  <c r="B48" i="86"/>
  <c r="E47" i="86"/>
  <c r="D47" i="86"/>
  <c r="C47" i="86"/>
  <c r="B47" i="86"/>
  <c r="E46" i="86"/>
  <c r="D46" i="86"/>
  <c r="C46" i="86"/>
  <c r="B46" i="86"/>
  <c r="E45" i="86"/>
  <c r="D45" i="86"/>
  <c r="C45" i="86"/>
  <c r="B45" i="86"/>
  <c r="E44" i="86"/>
  <c r="D44" i="86"/>
  <c r="C44" i="86"/>
  <c r="B44" i="86"/>
  <c r="E43" i="86"/>
  <c r="D43" i="86"/>
  <c r="C43" i="86"/>
  <c r="B43" i="86"/>
  <c r="E42" i="86"/>
  <c r="D42" i="86"/>
  <c r="C42" i="86"/>
  <c r="B42" i="86"/>
  <c r="E41" i="86"/>
  <c r="D41" i="86"/>
  <c r="C41" i="86"/>
  <c r="B41" i="86"/>
  <c r="E40" i="86"/>
  <c r="D40" i="86"/>
  <c r="C40" i="86"/>
  <c r="B40" i="86"/>
  <c r="E39" i="86"/>
  <c r="D39" i="86"/>
  <c r="C39" i="86"/>
  <c r="B39" i="86"/>
  <c r="E38" i="86"/>
  <c r="D38" i="86"/>
  <c r="C38" i="86"/>
  <c r="B38" i="86"/>
  <c r="E37" i="86"/>
  <c r="D37" i="86"/>
  <c r="C37" i="86"/>
  <c r="B37" i="86"/>
  <c r="E36" i="86"/>
  <c r="D36" i="86"/>
  <c r="C36" i="86"/>
  <c r="B36" i="86"/>
  <c r="E35" i="86"/>
  <c r="D35" i="86"/>
  <c r="C35" i="86"/>
  <c r="B35" i="86"/>
  <c r="E34" i="86"/>
  <c r="D34" i="86"/>
  <c r="C34" i="86"/>
  <c r="B34" i="86"/>
  <c r="E33" i="86"/>
  <c r="D33" i="86"/>
  <c r="C33" i="86"/>
  <c r="B33" i="86"/>
  <c r="E32" i="86"/>
  <c r="D32" i="86"/>
  <c r="C32" i="86"/>
  <c r="B32" i="86"/>
  <c r="E31" i="86"/>
  <c r="D31" i="86"/>
  <c r="C31" i="86"/>
  <c r="B31" i="86"/>
  <c r="E30" i="86"/>
  <c r="D30" i="86"/>
  <c r="C30" i="86"/>
  <c r="B30" i="86"/>
  <c r="E29" i="86"/>
  <c r="D29" i="86"/>
  <c r="C29" i="86"/>
  <c r="B29" i="86"/>
  <c r="E28" i="86"/>
  <c r="D28" i="86"/>
  <c r="C28" i="86"/>
  <c r="B28" i="86"/>
  <c r="E27" i="86"/>
  <c r="D27" i="86"/>
  <c r="C27" i="86"/>
  <c r="B27" i="86"/>
  <c r="E26" i="86"/>
  <c r="D26" i="86"/>
  <c r="C26" i="86"/>
  <c r="B26" i="86"/>
  <c r="E25" i="86"/>
  <c r="D25" i="86"/>
  <c r="C25" i="86"/>
  <c r="B25" i="86"/>
  <c r="E24" i="86"/>
  <c r="D24" i="86"/>
  <c r="C24" i="86"/>
  <c r="B24" i="86"/>
  <c r="E23" i="86"/>
  <c r="D23" i="86"/>
  <c r="C23" i="86"/>
  <c r="B23" i="86"/>
  <c r="E22" i="86"/>
  <c r="D22" i="86"/>
  <c r="C22" i="86"/>
  <c r="B22" i="86"/>
  <c r="E21" i="86"/>
  <c r="D21" i="86"/>
  <c r="C21" i="86"/>
  <c r="B21" i="86"/>
  <c r="E20" i="86"/>
  <c r="D20" i="86"/>
  <c r="C20" i="86"/>
  <c r="B20" i="86"/>
  <c r="E19" i="86"/>
  <c r="D19" i="86"/>
  <c r="C19" i="86"/>
  <c r="B19" i="86"/>
  <c r="E18" i="86"/>
  <c r="D18" i="86"/>
  <c r="C18" i="86"/>
  <c r="B18" i="86"/>
  <c r="E17" i="86"/>
  <c r="D17" i="86"/>
  <c r="C17" i="86"/>
  <c r="B17" i="86"/>
  <c r="E16" i="86"/>
  <c r="D16" i="86"/>
  <c r="C16" i="86"/>
  <c r="B16" i="86"/>
  <c r="E15" i="86"/>
  <c r="D15" i="86"/>
  <c r="C15" i="86"/>
  <c r="B15" i="86"/>
  <c r="E14" i="86"/>
  <c r="D14" i="86"/>
  <c r="C14" i="86"/>
  <c r="B14" i="86"/>
  <c r="E13" i="86"/>
  <c r="D13" i="86"/>
  <c r="C13" i="86"/>
  <c r="B13" i="86"/>
  <c r="E12" i="86"/>
  <c r="D12" i="86"/>
  <c r="C12" i="86"/>
  <c r="B12" i="86"/>
  <c r="E11" i="86"/>
  <c r="D11" i="86"/>
  <c r="C11" i="86"/>
  <c r="B11" i="86"/>
  <c r="E10" i="86"/>
  <c r="D10" i="86"/>
  <c r="C10" i="86"/>
  <c r="B10" i="86"/>
  <c r="E9" i="86"/>
  <c r="D9" i="86"/>
  <c r="C9" i="86"/>
  <c r="B9" i="86"/>
  <c r="E8" i="86"/>
  <c r="D8" i="86"/>
  <c r="C8" i="86"/>
  <c r="B8" i="86"/>
  <c r="E7" i="86"/>
  <c r="D7" i="86"/>
  <c r="C7" i="86"/>
  <c r="B7" i="86"/>
  <c r="E6" i="86"/>
  <c r="D6" i="86"/>
  <c r="C6" i="86"/>
  <c r="B6" i="86"/>
  <c r="E5" i="86"/>
  <c r="D5" i="86"/>
  <c r="C5" i="86"/>
  <c r="B5" i="86"/>
  <c r="E4" i="86"/>
  <c r="D4" i="86"/>
  <c r="C4" i="86"/>
  <c r="B4" i="86"/>
  <c r="E3" i="86"/>
  <c r="D3" i="86"/>
  <c r="C3" i="86"/>
  <c r="B3" i="86"/>
  <c r="D2" i="86"/>
  <c r="B2" i="86"/>
</calcChain>
</file>

<file path=xl/sharedStrings.xml><?xml version="1.0" encoding="utf-8"?>
<sst xmlns="http://schemas.openxmlformats.org/spreadsheetml/2006/main" count="10806" uniqueCount="228">
  <si>
    <t>Total Medicaid Enrollees - VIII Group Break Out Report</t>
  </si>
  <si>
    <t>Reported on the CMS-64</t>
  </si>
  <si>
    <t>State</t>
  </si>
  <si>
    <t>Total Medicaid Enrollees</t>
  </si>
  <si>
    <t>Total VIII Group Enrollees</t>
  </si>
  <si>
    <t>Total VIII Group 
 Newly Eligible Enrollees</t>
  </si>
  <si>
    <t>Total VIII Group 
 Not Newly Eligible Enrollees</t>
  </si>
  <si>
    <t xml:space="preserve">Alabama </t>
  </si>
  <si>
    <t>N/A</t>
  </si>
  <si>
    <t xml:space="preserve">Alaska </t>
  </si>
  <si>
    <t xml:space="preserve">Amer. Samoa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</si>
  <si>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</si>
  <si>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</si>
  <si>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</si>
  <si>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</si>
  <si>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</si>
  <si>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</si>
  <si>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Dist. Of Col. </t>
  </si>
  <si>
    <t xml:space="preserve">Florida </t>
  </si>
  <si>
    <t xml:space="preserve">Georgia </t>
  </si>
  <si>
    <t xml:space="preserve">Guam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</si>
  <si>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</si>
  <si>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</si>
  <si>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</si>
  <si>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</si>
  <si>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</si>
  <si>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</si>
  <si>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</si>
  <si>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</si>
  <si>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</si>
  <si>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</si>
  <si>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</si>
  <si>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</si>
  <si>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</si>
  <si>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</si>
  <si>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</si>
  <si>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</si>
  <si>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N. Mariana Islands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</si>
  <si>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</si>
  <si>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</si>
  <si>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</si>
  <si>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</si>
  <si>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</si>
  <si>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</si>
  <si>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</si>
  <si>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</si>
  <si>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</si>
  <si>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</si>
  <si>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</si>
  <si>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</si>
  <si>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Puerto Rico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</si>
  <si>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</si>
  <si>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</si>
  <si>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</si>
  <si>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</si>
  <si>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</si>
  <si>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</si>
  <si>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</si>
  <si>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 Islands </t>
  </si>
  <si>
    <t xml:space="preserve">Virginia </t>
  </si>
  <si>
    <t xml:space="preserve">Washington </t>
  </si>
  <si>
    <t xml:space="preserve">West Virginia </t>
  </si>
  <si>
    <t xml:space="preserve">Wisconsin </t>
  </si>
  <si>
    <t xml:space="preserve">Wyoming </t>
  </si>
  <si>
    <t>Totals</t>
  </si>
  <si>
    <t>* Awaiting state reporting/enrollment reasonableness review in progress</t>
  </si>
  <si>
    <t>Notes:</t>
  </si>
  <si>
    <t>1. “VIII GROUP” is also known as the “New Adult Group.”</t>
  </si>
  <si>
    <t>2. The VIII Group is only applicable for states that have expanded their Medicaid programs by adopting the VIII Group. VIII Group enrollment information</t>
  </si>
  <si>
    <t xml:space="preserve">      for the states that have not expanded their Medicaid program is noted as “N/A.”</t>
  </si>
  <si>
    <t>3. Michigan expanded its Medicaid program by adopting the VIII Group on April 1, 2014.</t>
  </si>
  <si>
    <t>4. New Hampshire expanded its Medicaid program by adopting the VIII Group on August 15, 2014</t>
  </si>
  <si>
    <t>January-2018</t>
  </si>
  <si>
    <t>February-2018</t>
  </si>
  <si>
    <t>March-2018</t>
  </si>
  <si>
    <t>5. Pennsylvania expanded its Medicaid program by adopting the VIII Group on January 1, 2015.</t>
  </si>
  <si>
    <t>6. Indiana expanded its Medicaid program by adopting the VIII Group on February 1, 2015</t>
  </si>
  <si>
    <t>7. Virgin Island expanded its Medicaid program by adopting the VIII Group on June 1, 2015</t>
  </si>
  <si>
    <t>8. Alaska expanded its Medicaid program by adopting the VIII Group on September 1, 2015.</t>
  </si>
  <si>
    <t>9. Montana expanded its Medicaid program by adopting the VIII Group on January 1, 2016.</t>
  </si>
  <si>
    <t>10. Louisiana is expanding its Medicaid program by adopting the VIII Group on July 1, 2016.</t>
  </si>
  <si>
    <t>11. Maine expanded its Medicaid program by adopting the VIII Group on July 1, 2018.</t>
  </si>
  <si>
    <t>12. Virginia expanded its Medicaid program by adopting the VIII Group on January 1, 2019.</t>
  </si>
  <si>
    <t>Updated August 2019</t>
  </si>
  <si>
    <t>April-2018</t>
  </si>
  <si>
    <t>May-2018</t>
  </si>
  <si>
    <t>June-2018</t>
  </si>
  <si>
    <t>Amer. Samoa *</t>
  </si>
  <si>
    <t>Updated February 2020</t>
  </si>
  <si>
    <t>July-2018</t>
  </si>
  <si>
    <t>August-2018</t>
  </si>
  <si>
    <t>September-2018</t>
  </si>
  <si>
    <t>October-2018</t>
  </si>
  <si>
    <t>November-2018</t>
  </si>
  <si>
    <t>December-2018</t>
  </si>
  <si>
    <t>January-2019</t>
  </si>
  <si>
    <t>February-2019</t>
  </si>
  <si>
    <t xml:space="preserve">Updated February 2020 </t>
  </si>
  <si>
    <t>March-2019</t>
  </si>
  <si>
    <t>April-2019</t>
  </si>
  <si>
    <t>May-2019</t>
  </si>
  <si>
    <t>June-2019</t>
  </si>
  <si>
    <t>14. Utah expanded its Medicaid program by adopting VIII Group on January 1, 2020.</t>
  </si>
  <si>
    <t>13. Idaho expanded its Medicaid program by adopting VIII Group on January 1, 2020.</t>
  </si>
  <si>
    <t>11. Maine Expanded its Medicaid program by adopting the VIII Group on July 1, 2018.</t>
  </si>
  <si>
    <t>10. Louisiana expanded its Medicaid program by adopting the VIII Group on July 1, 2016.</t>
  </si>
  <si>
    <t>7. The Virgin Islands expanded its Medicaid program by adopting the VIII Group on June 1, 2015.</t>
  </si>
  <si>
    <t>6. Indiana expanded its Medicaid program by adopting the VIII Group on February 1, 2015.</t>
  </si>
  <si>
    <t>4. New Hampshire expanded its Medicaid program by adopting the VIII Group on August 15, 2014.</t>
  </si>
  <si>
    <t>2. The VIII Group is only applicable for states that have expanded their Medicaid programs by adopting the VIII Group. VIII Group expenditure information</t>
  </si>
  <si>
    <t>1. The “VIII GROUP” is also known as the “New Adult Group.”</t>
  </si>
  <si>
    <t>Updated January 2021</t>
  </si>
  <si>
    <t>July-2019</t>
  </si>
  <si>
    <t>August-2019</t>
  </si>
  <si>
    <t>September-2019</t>
  </si>
  <si>
    <t>October-2019</t>
  </si>
  <si>
    <t>November-2019</t>
  </si>
  <si>
    <t>December-2019</t>
  </si>
  <si>
    <t>January-2020</t>
  </si>
  <si>
    <t>February-2020</t>
  </si>
  <si>
    <t>March-2020</t>
  </si>
  <si>
    <t>Virginia *</t>
  </si>
  <si>
    <t>California *</t>
  </si>
  <si>
    <t>Updated May 2021</t>
  </si>
  <si>
    <t>April-2020</t>
  </si>
  <si>
    <t>May-2020</t>
  </si>
  <si>
    <t>June-2020</t>
  </si>
  <si>
    <t>Created On: Thursday, May 27, 2021 12:35 PM</t>
  </si>
  <si>
    <t>July-2020</t>
  </si>
  <si>
    <t>August-2020</t>
  </si>
  <si>
    <t>September-2020</t>
  </si>
  <si>
    <t>October-2020</t>
  </si>
  <si>
    <t>November-2020</t>
  </si>
  <si>
    <t>December-2020</t>
  </si>
  <si>
    <t>15. Oklahoma expanded its Medicaid program by adopting the VIII Group on July 1, 2021.</t>
  </si>
  <si>
    <t>14. Utah expanded its Medicaid program by adopting the VIII Group on January 1, 2020.</t>
  </si>
  <si>
    <t>13. Idaho expanded its Medicaid program by adopting the VIII Group on January 1, 2020.</t>
  </si>
  <si>
    <t xml:space="preserve">      for the states/territories that have not expanded their Medicaid program is noted as “N/A.”</t>
  </si>
  <si>
    <t>2. The VIII Group is only applicable for states and territories that have expanded their Medicaid programs by adopting the VIII Group. VIII Group expenditure information</t>
  </si>
  <si>
    <t>Reported on the Form CMS-64</t>
  </si>
  <si>
    <t>Updated March 2022</t>
  </si>
  <si>
    <t>January-2021</t>
  </si>
  <si>
    <t>February-2021</t>
  </si>
  <si>
    <t>13. Idaho expanded its Medicaid program by adopting the Group on January 1, 2020.</t>
  </si>
  <si>
    <t>March-2021</t>
  </si>
  <si>
    <t>16. Missouri expanded its Medicaid program by adopting the VIII Group on October 1, 2021.</t>
  </si>
  <si>
    <t>Updated December 2022</t>
  </si>
  <si>
    <t>April-2021</t>
  </si>
  <si>
    <t>May-2021</t>
  </si>
  <si>
    <t>June-2021</t>
  </si>
  <si>
    <t>July-2021</t>
  </si>
  <si>
    <t>August-2021</t>
  </si>
  <si>
    <t>September-2021</t>
  </si>
  <si>
    <t>Updated April 2023</t>
  </si>
  <si>
    <t>October-2021</t>
  </si>
  <si>
    <t>November-2021</t>
  </si>
  <si>
    <t>December-2021</t>
  </si>
  <si>
    <t>17. South Dakota expanded its Medicaid program by adopting the VIII Group on July 1, 2023.</t>
  </si>
  <si>
    <t>Updated August 2023</t>
  </si>
  <si>
    <t>January-2022</t>
  </si>
  <si>
    <t>February-2022</t>
  </si>
  <si>
    <t>March-2022</t>
  </si>
  <si>
    <t>Updated October 2023</t>
  </si>
  <si>
    <t>April-2022</t>
  </si>
  <si>
    <t>May-2022</t>
  </si>
  <si>
    <t>June-2022</t>
  </si>
  <si>
    <t>Created On: Tuesday, December 26, 2023 11:43 AM</t>
  </si>
  <si>
    <t>Updated December 2023</t>
  </si>
  <si>
    <t>July-2022</t>
  </si>
  <si>
    <t>August-2022</t>
  </si>
  <si>
    <t>September-2022</t>
  </si>
  <si>
    <t>Idaho *</t>
  </si>
  <si>
    <t>Updated May 2024</t>
  </si>
  <si>
    <t>October-2022</t>
  </si>
  <si>
    <t>November-2022</t>
  </si>
  <si>
    <t>December-2022</t>
  </si>
  <si>
    <t>Updated August 2024</t>
  </si>
  <si>
    <t>January-2023</t>
  </si>
  <si>
    <t>February-2023</t>
  </si>
  <si>
    <t>March-2023</t>
  </si>
  <si>
    <t>18. North Carolina expanded its Medicaid program by adopting the VIII Group on October 1, 2023.</t>
  </si>
  <si>
    <t>Updated November 2024</t>
  </si>
  <si>
    <t>April-2023</t>
  </si>
  <si>
    <t>May-2023</t>
  </si>
  <si>
    <t>June-2023</t>
  </si>
  <si>
    <t>Updated December 2024</t>
  </si>
  <si>
    <t>July-2023</t>
  </si>
  <si>
    <t>August-2023</t>
  </si>
  <si>
    <t>September-2023</t>
  </si>
  <si>
    <t>Updated March 2025</t>
  </si>
  <si>
    <t>October-2023</t>
  </si>
  <si>
    <t>November-2023</t>
  </si>
  <si>
    <t>December-2023</t>
  </si>
  <si>
    <t>Virginia expanded its Medicaid program by adopting the VIII Group on January 1, 2019.</t>
  </si>
  <si>
    <t>The Virgin Islands expanded its Medicaid program by adopting the VIII Group on June 1, 2015.</t>
  </si>
  <si>
    <t>Utah expanded its Medicaid program by adopting the VIII Group on January 1, 2020.</t>
  </si>
  <si>
    <t>South Dakota expanded its Medicaid program by adopting the VIII Group on July 1, 2023.</t>
  </si>
  <si>
    <t>Pennsylvania expanded its Medicaid program by adopting the VIII Group on January 1, 2015.</t>
  </si>
  <si>
    <t>Oklahoma expanded its Medicaid program by adopting the VIII Group on July 1, 2021.</t>
  </si>
  <si>
    <t>North Carolina expanded its Medicaid program by adopting the VIII Group on October 1, 2023.</t>
  </si>
  <si>
    <t>New Hampshire expanded its Medicaid program by adopting the VIII Group on August 15, 2014.</t>
  </si>
  <si>
    <t>Montana expanded its Medicaid program by adopting the VIII Group on January 1, 2016.</t>
  </si>
  <si>
    <t>Missouri expanded its Medicaid program by adopting the VIII Group on October 1, 2021.</t>
  </si>
  <si>
    <t>Michigan expanded its Medicaid program by adopting the VIII Group on April 1, 2014.</t>
  </si>
  <si>
    <t>Maine Expanded its Medicaid program by adopting the VIII Group on July 1, 2018.</t>
  </si>
  <si>
    <t>Louisiana expanded its Medicaid program by adopting the VIII Group on July 1, 2016.</t>
  </si>
  <si>
    <t>Indiana expanded its Medicaid program by adopting the VIII Group on February 1, 2015.</t>
  </si>
  <si>
    <t>Idaho expanded its Medicaid program by adopting the VIII Group on January 1, 2020.</t>
  </si>
  <si>
    <t>Alaska expanded its Medicaid program by adopting the VIII Group on September 1, 2015.</t>
  </si>
  <si>
    <t>Notes</t>
  </si>
  <si>
    <t>Enrollment Month</t>
  </si>
  <si>
    <t>Enrollment Year</t>
  </si>
  <si>
    <t>Updated Month</t>
  </si>
  <si>
    <t>Updated Year</t>
  </si>
  <si>
    <t>Updated November 2025</t>
  </si>
  <si>
    <t>April-2024</t>
  </si>
  <si>
    <t>May-2024</t>
  </si>
  <si>
    <t>June-2024</t>
  </si>
  <si>
    <t>Updated February 2026</t>
  </si>
  <si>
    <t>July-2024</t>
  </si>
  <si>
    <t>August-2024</t>
  </si>
  <si>
    <t>September-2024</t>
  </si>
  <si>
    <t>Date</t>
  </si>
  <si>
    <t>Total Enrollees</t>
  </si>
  <si>
    <t>Total Group VIII</t>
  </si>
  <si>
    <t>Delta Total</t>
  </si>
  <si>
    <t>Delta VIII</t>
  </si>
  <si>
    <t>Number of States in Group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</si>
</sst>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8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NumberFormat="0" applyBorder="0" applyAlignment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38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" fontId="0" fillId="0" borderId="0" xfId="0" applyNumberFormat="1"/>
    <xf numFmtId="38" fontId="0" fillId="0" borderId="0" xfId="0" applyNumberFormat="1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8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Enrollees by Month (Total vs Group VIII)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Combined!$B$1</c:f>
              <c:strCache>
                <c:ptCount val="1"/>
                <c:pt idx="0">
                  <c:v>Total Enrollees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Combined!$A$2:$A$82</c:f>
              <c:numCache>
                <c:formatCode>mmm\-yy</c:formatCode>
                <c:ptCount val="8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</c:numCache>
            </c:numRef>
          </c:cat>
          <c:val>
            <c:numRef>
              <c:f>Combined!$B$2:$B$82</c:f>
              <c:numCache>
                <c:formatCode>#,##0_);[Red]\(#,##0\)</c:formatCode>
                <c:ptCount val="81"/>
                <c:pt idx="0">
                  <c:v>77061511</c:v>
                </c:pt>
                <c:pt idx="1">
                  <c:v>76816414</c:v>
                </c:pt>
                <c:pt idx="2">
                  <c:v>76672124</c:v>
                </c:pt>
                <c:pt idx="3">
                  <c:v>76587909</c:v>
                </c:pt>
                <c:pt idx="4">
                  <c:v>76388516</c:v>
                </c:pt>
                <c:pt idx="5">
                  <c:v>75959344</c:v>
                </c:pt>
                <c:pt idx="6">
                  <c:v>76353875</c:v>
                </c:pt>
                <c:pt idx="7">
                  <c:v>76065396</c:v>
                </c:pt>
                <c:pt idx="8">
                  <c:v>75485517</c:v>
                </c:pt>
                <c:pt idx="9">
                  <c:v>75799027</c:v>
                </c:pt>
                <c:pt idx="10">
                  <c:v>75525925</c:v>
                </c:pt>
                <c:pt idx="11">
                  <c:v>74770615</c:v>
                </c:pt>
                <c:pt idx="12">
                  <c:v>75376060</c:v>
                </c:pt>
                <c:pt idx="13">
                  <c:v>75153292</c:v>
                </c:pt>
                <c:pt idx="14">
                  <c:v>74877560</c:v>
                </c:pt>
                <c:pt idx="15">
                  <c:v>75071007</c:v>
                </c:pt>
                <c:pt idx="16">
                  <c:v>74812854</c:v>
                </c:pt>
                <c:pt idx="17">
                  <c:v>74215582</c:v>
                </c:pt>
                <c:pt idx="18">
                  <c:v>74488451</c:v>
                </c:pt>
                <c:pt idx="19">
                  <c:v>75037460</c:v>
                </c:pt>
                <c:pt idx="20">
                  <c:v>75625105</c:v>
                </c:pt>
                <c:pt idx="21">
                  <c:v>75011359</c:v>
                </c:pt>
                <c:pt idx="22">
                  <c:v>74622336</c:v>
                </c:pt>
                <c:pt idx="23">
                  <c:v>74254894</c:v>
                </c:pt>
                <c:pt idx="24">
                  <c:v>74732556</c:v>
                </c:pt>
                <c:pt idx="25">
                  <c:v>74443888</c:v>
                </c:pt>
                <c:pt idx="26">
                  <c:v>74275953</c:v>
                </c:pt>
                <c:pt idx="27">
                  <c:v>76114580</c:v>
                </c:pt>
                <c:pt idx="28">
                  <c:v>77169947</c:v>
                </c:pt>
                <c:pt idx="29">
                  <c:v>78055480</c:v>
                </c:pt>
                <c:pt idx="30">
                  <c:v>79309251</c:v>
                </c:pt>
                <c:pt idx="31">
                  <c:v>80202982</c:v>
                </c:pt>
                <c:pt idx="32">
                  <c:v>80938780</c:v>
                </c:pt>
                <c:pt idx="33">
                  <c:v>83848958</c:v>
                </c:pt>
                <c:pt idx="34">
                  <c:v>85021129</c:v>
                </c:pt>
                <c:pt idx="35">
                  <c:v>83327207</c:v>
                </c:pt>
                <c:pt idx="36">
                  <c:v>84904129</c:v>
                </c:pt>
                <c:pt idx="37">
                  <c:v>85397214</c:v>
                </c:pt>
                <c:pt idx="38">
                  <c:v>85910366</c:v>
                </c:pt>
                <c:pt idx="39">
                  <c:v>86730928</c:v>
                </c:pt>
                <c:pt idx="40">
                  <c:v>87232698</c:v>
                </c:pt>
                <c:pt idx="41">
                  <c:v>87595760</c:v>
                </c:pt>
                <c:pt idx="42">
                  <c:v>88407727</c:v>
                </c:pt>
                <c:pt idx="43">
                  <c:v>89007226</c:v>
                </c:pt>
                <c:pt idx="44">
                  <c:v>89384641</c:v>
                </c:pt>
                <c:pt idx="45">
                  <c:v>90288880</c:v>
                </c:pt>
                <c:pt idx="46">
                  <c:v>90916915</c:v>
                </c:pt>
                <c:pt idx="47">
                  <c:v>91152624</c:v>
                </c:pt>
                <c:pt idx="48">
                  <c:v>92054533</c:v>
                </c:pt>
                <c:pt idx="49">
                  <c:v>92416336</c:v>
                </c:pt>
                <c:pt idx="50">
                  <c:v>92843565</c:v>
                </c:pt>
                <c:pt idx="51">
                  <c:v>104075749</c:v>
                </c:pt>
                <c:pt idx="52">
                  <c:v>94051660</c:v>
                </c:pt>
                <c:pt idx="53">
                  <c:v>94517722</c:v>
                </c:pt>
                <c:pt idx="54">
                  <c:v>95111777</c:v>
                </c:pt>
                <c:pt idx="55">
                  <c:v>95824368</c:v>
                </c:pt>
                <c:pt idx="56">
                  <c:v>96242503</c:v>
                </c:pt>
                <c:pt idx="57">
                  <c:v>96904625</c:v>
                </c:pt>
                <c:pt idx="58">
                  <c:v>97433463</c:v>
                </c:pt>
                <c:pt idx="59">
                  <c:v>97814451</c:v>
                </c:pt>
                <c:pt idx="60">
                  <c:v>98743626</c:v>
                </c:pt>
                <c:pt idx="61">
                  <c:v>99047187</c:v>
                </c:pt>
                <c:pt idx="62">
                  <c:v>99895730</c:v>
                </c:pt>
                <c:pt idx="63">
                  <c:v>100100536</c:v>
                </c:pt>
                <c:pt idx="64">
                  <c:v>99734767</c:v>
                </c:pt>
                <c:pt idx="65">
                  <c:v>98529848</c:v>
                </c:pt>
                <c:pt idx="66">
                  <c:v>97857412</c:v>
                </c:pt>
                <c:pt idx="67">
                  <c:v>96623612</c:v>
                </c:pt>
                <c:pt idx="68">
                  <c:v>95335850</c:v>
                </c:pt>
                <c:pt idx="69">
                  <c:v>93799620</c:v>
                </c:pt>
                <c:pt idx="70">
                  <c:v>92066205</c:v>
                </c:pt>
                <c:pt idx="71">
                  <c:v>90517353</c:v>
                </c:pt>
                <c:pt idx="72">
                  <c:v>89975996</c:v>
                </c:pt>
                <c:pt idx="73">
                  <c:v>89239469</c:v>
                </c:pt>
                <c:pt idx="74">
                  <c:v>88428995</c:v>
                </c:pt>
                <c:pt idx="75">
                  <c:v>87303815</c:v>
                </c:pt>
                <c:pt idx="76">
                  <c:v>86344918</c:v>
                </c:pt>
                <c:pt idx="77">
                  <c:v>85303813</c:v>
                </c:pt>
                <c:pt idx="78">
                  <c:v>85289974</c:v>
                </c:pt>
                <c:pt idx="79">
                  <c:v>85093798</c:v>
                </c:pt>
                <c:pt idx="80">
                  <c:v>84811338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2-4CDE-8037-3B8F25E570EC}"/>
            </c:ext>
          </c:extLst>
        </c:ser>
        <c:ser>
          <c:idx val="2"/>
          <c:order val="2"/>
          <c:tx>
            <c:strRef>
              <c:f>Combined!$D$1</c:f>
              <c:strCache>
                <c:ptCount val="1"/>
                <c:pt idx="0">
                  <c:v>Total Group VIII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Combined!$A$2:$A$82</c:f>
              <c:numCache>
                <c:formatCode>mmm\-yy</c:formatCode>
                <c:ptCount val="8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</c:numCache>
            </c:numRef>
          </c:cat>
          <c:val>
            <c:numRef>
              <c:f>Combined!$D$2:$D$82</c:f>
              <c:numCache>
                <c:formatCode>#,##0_);[Red]\(#,##0\)</c:formatCode>
                <c:ptCount val="81"/>
                <c:pt idx="0">
                  <c:v>15805637</c:v>
                </c:pt>
                <c:pt idx="1">
                  <c:v>15643345</c:v>
                </c:pt>
                <c:pt idx="2">
                  <c:v>15628063</c:v>
                </c:pt>
                <c:pt idx="3">
                  <c:v>15597932</c:v>
                </c:pt>
                <c:pt idx="4">
                  <c:v>15563132</c:v>
                </c:pt>
                <c:pt idx="5">
                  <c:v>15438583</c:v>
                </c:pt>
                <c:pt idx="6">
                  <c:v>15448246</c:v>
                </c:pt>
                <c:pt idx="7">
                  <c:v>15388683</c:v>
                </c:pt>
                <c:pt idx="8">
                  <c:v>15269032</c:v>
                </c:pt>
                <c:pt idx="9">
                  <c:v>15335170</c:v>
                </c:pt>
                <c:pt idx="10">
                  <c:v>15223609</c:v>
                </c:pt>
                <c:pt idx="11">
                  <c:v>15151153</c:v>
                </c:pt>
                <c:pt idx="12">
                  <c:v>15464581</c:v>
                </c:pt>
                <c:pt idx="13">
                  <c:v>15448306</c:v>
                </c:pt>
                <c:pt idx="14">
                  <c:v>15439030</c:v>
                </c:pt>
                <c:pt idx="15">
                  <c:v>15462070</c:v>
                </c:pt>
                <c:pt idx="16">
                  <c:v>15399528</c:v>
                </c:pt>
                <c:pt idx="17">
                  <c:v>15269635</c:v>
                </c:pt>
                <c:pt idx="18">
                  <c:v>15037252</c:v>
                </c:pt>
                <c:pt idx="19">
                  <c:v>15518823</c:v>
                </c:pt>
                <c:pt idx="20">
                  <c:v>15455475</c:v>
                </c:pt>
                <c:pt idx="21">
                  <c:v>15506627</c:v>
                </c:pt>
                <c:pt idx="22">
                  <c:v>15430736</c:v>
                </c:pt>
                <c:pt idx="23">
                  <c:v>15398703</c:v>
                </c:pt>
                <c:pt idx="24">
                  <c:v>15622036</c:v>
                </c:pt>
                <c:pt idx="25">
                  <c:v>15542456</c:v>
                </c:pt>
                <c:pt idx="26">
                  <c:v>15545838</c:v>
                </c:pt>
                <c:pt idx="27">
                  <c:v>16122919</c:v>
                </c:pt>
                <c:pt idx="28">
                  <c:v>16440132</c:v>
                </c:pt>
                <c:pt idx="29">
                  <c:v>16755755</c:v>
                </c:pt>
                <c:pt idx="30">
                  <c:v>17166056</c:v>
                </c:pt>
                <c:pt idx="31">
                  <c:v>17501260</c:v>
                </c:pt>
                <c:pt idx="32">
                  <c:v>17740750</c:v>
                </c:pt>
                <c:pt idx="33">
                  <c:v>18649336</c:v>
                </c:pt>
                <c:pt idx="34">
                  <c:v>18365572</c:v>
                </c:pt>
                <c:pt idx="35">
                  <c:v>18740932</c:v>
                </c:pt>
                <c:pt idx="36">
                  <c:v>19346158</c:v>
                </c:pt>
                <c:pt idx="37">
                  <c:v>19570667</c:v>
                </c:pt>
                <c:pt idx="38">
                  <c:v>19782431</c:v>
                </c:pt>
                <c:pt idx="39">
                  <c:v>20038831</c:v>
                </c:pt>
                <c:pt idx="40">
                  <c:v>20210139</c:v>
                </c:pt>
                <c:pt idx="41">
                  <c:v>20354443</c:v>
                </c:pt>
                <c:pt idx="42">
                  <c:v>20652351</c:v>
                </c:pt>
                <c:pt idx="43">
                  <c:v>20868398</c:v>
                </c:pt>
                <c:pt idx="44">
                  <c:v>21033779</c:v>
                </c:pt>
                <c:pt idx="45">
                  <c:v>21361605</c:v>
                </c:pt>
                <c:pt idx="46">
                  <c:v>21561580</c:v>
                </c:pt>
                <c:pt idx="47">
                  <c:v>21763490</c:v>
                </c:pt>
                <c:pt idx="48">
                  <c:v>22009309</c:v>
                </c:pt>
                <c:pt idx="49">
                  <c:v>22150881</c:v>
                </c:pt>
                <c:pt idx="50">
                  <c:v>22299155</c:v>
                </c:pt>
                <c:pt idx="51">
                  <c:v>33144607</c:v>
                </c:pt>
                <c:pt idx="52">
                  <c:v>22730436</c:v>
                </c:pt>
                <c:pt idx="53">
                  <c:v>22894107</c:v>
                </c:pt>
                <c:pt idx="54">
                  <c:v>23048691</c:v>
                </c:pt>
                <c:pt idx="55">
                  <c:v>23274555</c:v>
                </c:pt>
                <c:pt idx="56">
                  <c:v>23433617</c:v>
                </c:pt>
                <c:pt idx="57">
                  <c:v>23680546</c:v>
                </c:pt>
                <c:pt idx="58">
                  <c:v>23868305</c:v>
                </c:pt>
                <c:pt idx="59">
                  <c:v>24052258</c:v>
                </c:pt>
                <c:pt idx="60">
                  <c:v>24374903</c:v>
                </c:pt>
                <c:pt idx="61">
                  <c:v>24514568</c:v>
                </c:pt>
                <c:pt idx="62">
                  <c:v>24814965</c:v>
                </c:pt>
                <c:pt idx="63">
                  <c:v>24740263</c:v>
                </c:pt>
                <c:pt idx="64">
                  <c:v>24769169</c:v>
                </c:pt>
                <c:pt idx="65">
                  <c:v>24526226</c:v>
                </c:pt>
                <c:pt idx="66">
                  <c:v>24408927</c:v>
                </c:pt>
                <c:pt idx="67">
                  <c:v>24015508</c:v>
                </c:pt>
                <c:pt idx="68">
                  <c:v>23634543</c:v>
                </c:pt>
                <c:pt idx="69">
                  <c:v>23296105</c:v>
                </c:pt>
                <c:pt idx="70">
                  <c:v>22870835</c:v>
                </c:pt>
                <c:pt idx="71">
                  <c:v>22762911</c:v>
                </c:pt>
                <c:pt idx="72">
                  <c:v>22651839</c:v>
                </c:pt>
                <c:pt idx="73">
                  <c:v>22379889</c:v>
                </c:pt>
                <c:pt idx="74">
                  <c:v>22045329</c:v>
                </c:pt>
                <c:pt idx="75">
                  <c:v>21789990</c:v>
                </c:pt>
                <c:pt idx="76">
                  <c:v>21436078</c:v>
                </c:pt>
                <c:pt idx="77">
                  <c:v>21061045</c:v>
                </c:pt>
                <c:pt idx="78">
                  <c:v>20941996</c:v>
                </c:pt>
                <c:pt idx="79">
                  <c:v>20893077</c:v>
                </c:pt>
                <c:pt idx="80">
                  <c:v>20795660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3-426D-BFD2-9BF3EFCDF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75248"/>
        <c:axId val="18952757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Combined!$C$1</c15:sqref>
                        </c15:formulaRef>
                      </c:ext>
                    </c:extLst>
                    <c:strCache>
                      <c:ptCount val="1"/>
                      <c:pt idx="0">
                        <c:v>Delta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Combined!$A$2:$A$82</c15:sqref>
                        </c15:formulaRef>
                      </c:ext>
                    </c:extLst>
                    <c:numCache>
                      <c:formatCode>mmm\-yy</c:formatCode>
                      <c:ptCount val="81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  <c:pt idx="37">
                        <c:v>44228</c:v>
                      </c:pt>
                      <c:pt idx="38">
                        <c:v>44256</c:v>
                      </c:pt>
                      <c:pt idx="39">
                        <c:v>44287</c:v>
                      </c:pt>
                      <c:pt idx="40">
                        <c:v>44317</c:v>
                      </c:pt>
                      <c:pt idx="41">
                        <c:v>44348</c:v>
                      </c:pt>
                      <c:pt idx="42">
                        <c:v>44378</c:v>
                      </c:pt>
                      <c:pt idx="43">
                        <c:v>44409</c:v>
                      </c:pt>
                      <c:pt idx="44">
                        <c:v>44440</c:v>
                      </c:pt>
                      <c:pt idx="45">
                        <c:v>44470</c:v>
                      </c:pt>
                      <c:pt idx="46">
                        <c:v>44501</c:v>
                      </c:pt>
                      <c:pt idx="47">
                        <c:v>44531</c:v>
                      </c:pt>
                      <c:pt idx="48">
                        <c:v>44562</c:v>
                      </c:pt>
                      <c:pt idx="49">
                        <c:v>44593</c:v>
                      </c:pt>
                      <c:pt idx="50">
                        <c:v>44621</c:v>
                      </c:pt>
                      <c:pt idx="51">
                        <c:v>44652</c:v>
                      </c:pt>
                      <c:pt idx="52">
                        <c:v>44682</c:v>
                      </c:pt>
                      <c:pt idx="53">
                        <c:v>44713</c:v>
                      </c:pt>
                      <c:pt idx="54">
                        <c:v>44743</c:v>
                      </c:pt>
                      <c:pt idx="55">
                        <c:v>44774</c:v>
                      </c:pt>
                      <c:pt idx="56">
                        <c:v>44805</c:v>
                      </c:pt>
                      <c:pt idx="57">
                        <c:v>44835</c:v>
                      </c:pt>
                      <c:pt idx="58">
                        <c:v>44866</c:v>
                      </c:pt>
                      <c:pt idx="59">
                        <c:v>44896</c:v>
                      </c:pt>
                      <c:pt idx="60">
                        <c:v>44927</c:v>
                      </c:pt>
                      <c:pt idx="61">
                        <c:v>44958</c:v>
                      </c:pt>
                      <c:pt idx="62">
                        <c:v>44986</c:v>
                      </c:pt>
                      <c:pt idx="63">
                        <c:v>45017</c:v>
                      </c:pt>
                      <c:pt idx="64">
                        <c:v>45047</c:v>
                      </c:pt>
                      <c:pt idx="65">
                        <c:v>45078</c:v>
                      </c:pt>
                      <c:pt idx="66">
                        <c:v>45108</c:v>
                      </c:pt>
                      <c:pt idx="67">
                        <c:v>45139</c:v>
                      </c:pt>
                      <c:pt idx="68">
                        <c:v>45170</c:v>
                      </c:pt>
                      <c:pt idx="69">
                        <c:v>45200</c:v>
                      </c:pt>
                      <c:pt idx="70">
                        <c:v>45231</c:v>
                      </c:pt>
                      <c:pt idx="71">
                        <c:v>45261</c:v>
                      </c:pt>
                      <c:pt idx="72">
                        <c:v>45292</c:v>
                      </c:pt>
                      <c:pt idx="73">
                        <c:v>45323</c:v>
                      </c:pt>
                      <c:pt idx="74">
                        <c:v>45352</c:v>
                      </c:pt>
                      <c:pt idx="75">
                        <c:v>45383</c:v>
                      </c:pt>
                      <c:pt idx="76">
                        <c:v>45413</c:v>
                      </c:pt>
                      <c:pt idx="77">
                        <c:v>45444</c:v>
                      </c:pt>
                      <c:pt idx="78">
                        <c:v>45474</c:v>
                      </c:pt>
                      <c:pt idx="79">
                        <c:v>45505</c:v>
                      </c:pt>
                      <c:pt idx="80">
                        <c:v>45536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Combined!$C$2:$C$82</c15:sqref>
                        </c15:formulaRef>
                      </c:ext>
                    </c:extLst>
                    <c:numCache>
                      <c:formatCode>0.00%</c:formatCode>
                      <c:ptCount val="81"/>
                      <c:pt idx="0" formatCode="General">
                        <c:v>0</c:v>
                      </c:pt>
                      <c:pt idx="1">
                        <c:v>-3.1805371685483821E-3</c:v>
                      </c:pt>
                      <c:pt idx="2">
                        <c:v>-1.8783745880144834E-3</c:v>
                      </c:pt>
                      <c:pt idx="3">
                        <c:v>-1.0983783363038176E-3</c:v>
                      </c:pt>
                      <c:pt idx="4">
                        <c:v>-2.603452719932594E-3</c:v>
                      </c:pt>
                      <c:pt idx="5">
                        <c:v>-5.6182790617375E-3</c:v>
                      </c:pt>
                      <c:pt idx="6">
                        <c:v>5.193975872145499E-3</c:v>
                      </c:pt>
                      <c:pt idx="7">
                        <c:v>-3.7781841458603116E-3</c:v>
                      </c:pt>
                      <c:pt idx="8">
                        <c:v>-7.6234270837162279E-3</c:v>
                      </c:pt>
                      <c:pt idx="9">
                        <c:v>4.1532470394287689E-3</c:v>
                      </c:pt>
                      <c:pt idx="10">
                        <c:v>-3.6029750091646955E-3</c:v>
                      </c:pt>
                      <c:pt idx="11">
                        <c:v>-1.0000671954696351E-2</c:v>
                      </c:pt>
                      <c:pt idx="12">
                        <c:v>8.0973655225385008E-3</c:v>
                      </c:pt>
                      <c:pt idx="13">
                        <c:v>-2.9554211244259784E-3</c:v>
                      </c:pt>
                      <c:pt idx="14">
                        <c:v>-3.6689277696577817E-3</c:v>
                      </c:pt>
                      <c:pt idx="15">
                        <c:v>2.5835110011597599E-3</c:v>
                      </c:pt>
                      <c:pt idx="16">
                        <c:v>-3.4387842965793707E-3</c:v>
                      </c:pt>
                      <c:pt idx="17">
                        <c:v>-7.9835478539556845E-3</c:v>
                      </c:pt>
                      <c:pt idx="18">
                        <c:v>3.6767076757546683E-3</c:v>
                      </c:pt>
                      <c:pt idx="19">
                        <c:v>7.3703908811313581E-3</c:v>
                      </c:pt>
                      <c:pt idx="20">
                        <c:v>7.8313551658065177E-3</c:v>
                      </c:pt>
                      <c:pt idx="21">
                        <c:v>-8.115638318783161E-3</c:v>
                      </c:pt>
                      <c:pt idx="22">
                        <c:v>-5.1861878678934482E-3</c:v>
                      </c:pt>
                      <c:pt idx="23">
                        <c:v>-4.9240216762980989E-3</c:v>
                      </c:pt>
                      <c:pt idx="24">
                        <c:v>6.4327342518326136E-3</c:v>
                      </c:pt>
                      <c:pt idx="25">
                        <c:v>-3.8626806769462025E-3</c:v>
                      </c:pt>
                      <c:pt idx="26">
                        <c:v>-2.2558601452949368E-3</c:v>
                      </c:pt>
                      <c:pt idx="27">
                        <c:v>2.4754000800232077E-2</c:v>
                      </c:pt>
                      <c:pt idx="28">
                        <c:v>1.3865503823314798E-2</c:v>
                      </c:pt>
                      <c:pt idx="29">
                        <c:v>1.1475101829472553E-2</c:v>
                      </c:pt>
                      <c:pt idx="30">
                        <c:v>1.6062562167319962E-2</c:v>
                      </c:pt>
                      <c:pt idx="31">
                        <c:v>1.1268937592160591E-2</c:v>
                      </c:pt>
                      <c:pt idx="32">
                        <c:v>9.1741975379419187E-3</c:v>
                      </c:pt>
                      <c:pt idx="33">
                        <c:v>3.595529856022045E-2</c:v>
                      </c:pt>
                      <c:pt idx="34">
                        <c:v>1.3979553568214885E-2</c:v>
                      </c:pt>
                      <c:pt idx="35">
                        <c:v>-1.9923541593996005E-2</c:v>
                      </c:pt>
                      <c:pt idx="36">
                        <c:v>1.8924455250252176E-2</c:v>
                      </c:pt>
                      <c:pt idx="37">
                        <c:v>5.8075503018233656E-3</c:v>
                      </c:pt>
                      <c:pt idx="38">
                        <c:v>6.009001651974267E-3</c:v>
                      </c:pt>
                      <c:pt idx="39">
                        <c:v>9.551373579295426E-3</c:v>
                      </c:pt>
                      <c:pt idx="40">
                        <c:v>5.7853641321582543E-3</c:v>
                      </c:pt>
                      <c:pt idx="41">
                        <c:v>4.161994393432609E-3</c:v>
                      </c:pt>
                      <c:pt idx="42">
                        <c:v>9.2694783400475086E-3</c:v>
                      </c:pt>
                      <c:pt idx="43">
                        <c:v>6.7810701659595882E-3</c:v>
                      </c:pt>
                      <c:pt idx="44">
                        <c:v>4.2402737054180297E-3</c:v>
                      </c:pt>
                      <c:pt idx="45">
                        <c:v>1.01162681852691E-2</c:v>
                      </c:pt>
                      <c:pt idx="46">
                        <c:v>6.9558399661176435E-3</c:v>
                      </c:pt>
                      <c:pt idx="47">
                        <c:v>2.5925758699577523E-3</c:v>
                      </c:pt>
                      <c:pt idx="48">
                        <c:v>9.8944929989069758E-3</c:v>
                      </c:pt>
                      <c:pt idx="49">
                        <c:v>3.9303116121397301E-3</c:v>
                      </c:pt>
                      <c:pt idx="50">
                        <c:v>4.6228731682242848E-3</c:v>
                      </c:pt>
                      <c:pt idx="51">
                        <c:v>0.12097967155828193</c:v>
                      </c:pt>
                      <c:pt idx="52">
                        <c:v>-9.6315319335342958E-2</c:v>
                      </c:pt>
                      <c:pt idx="53">
                        <c:v>4.9553830309853114E-3</c:v>
                      </c:pt>
                      <c:pt idx="54">
                        <c:v>6.2851176205875976E-3</c:v>
                      </c:pt>
                      <c:pt idx="55">
                        <c:v>7.492142639706963E-3</c:v>
                      </c:pt>
                      <c:pt idx="56">
                        <c:v>4.3635560424463218E-3</c:v>
                      </c:pt>
                      <c:pt idx="57">
                        <c:v>6.8797254784614239E-3</c:v>
                      </c:pt>
                      <c:pt idx="58">
                        <c:v>5.4573040244467177E-3</c:v>
                      </c:pt>
                      <c:pt idx="59">
                        <c:v>3.9102376972888668E-3</c:v>
                      </c:pt>
                      <c:pt idx="60">
                        <c:v>9.4993632382601619E-3</c:v>
                      </c:pt>
                      <c:pt idx="61">
                        <c:v>3.0742338751060245E-3</c:v>
                      </c:pt>
                      <c:pt idx="62">
                        <c:v>8.5670580427488572E-3</c:v>
                      </c:pt>
                      <c:pt idx="63">
                        <c:v>2.0501977411847335E-3</c:v>
                      </c:pt>
                      <c:pt idx="64">
                        <c:v>-3.6540163980740325E-3</c:v>
                      </c:pt>
                      <c:pt idx="65">
                        <c:v>-1.2081233417831115E-2</c:v>
                      </c:pt>
                      <c:pt idx="66">
                        <c:v>-6.8246933660143271E-3</c:v>
                      </c:pt>
                      <c:pt idx="67">
                        <c:v>-1.260814050549385E-2</c:v>
                      </c:pt>
                      <c:pt idx="68">
                        <c:v>-1.3327611888489533E-2</c:v>
                      </c:pt>
                      <c:pt idx="69">
                        <c:v>-1.6113875315529259E-2</c:v>
                      </c:pt>
                      <c:pt idx="70">
                        <c:v>-1.8479978916758937E-2</c:v>
                      </c:pt>
                      <c:pt idx="71">
                        <c:v>-1.6823241492358677E-2</c:v>
                      </c:pt>
                      <c:pt idx="72">
                        <c:v>-5.9806985297062324E-3</c:v>
                      </c:pt>
                      <c:pt idx="73">
                        <c:v>-8.185816581569156E-3</c:v>
                      </c:pt>
                      <c:pt idx="74">
                        <c:v>-9.0820128031017314E-3</c:v>
                      </c:pt>
                      <c:pt idx="75">
                        <c:v>-1.272410706465679E-2</c:v>
                      </c:pt>
                      <c:pt idx="76">
                        <c:v>-1.0983449005063525E-2</c:v>
                      </c:pt>
                      <c:pt idx="77">
                        <c:v>-1.205751333274762E-2</c:v>
                      </c:pt>
                      <c:pt idx="78">
                        <c:v>-1.6223190398300251E-4</c:v>
                      </c:pt>
                      <c:pt idx="79">
                        <c:v>-2.3001062235052387E-3</c:v>
                      </c:pt>
                      <c:pt idx="80">
                        <c:v>-3.319395850682326E-3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D23-426D-BFD2-9BF3EFCDFA51}"/>
                  </c:ext>
                </c:extLst>
              </c15:ser>
            </c15:filteredLineSeries>
          </c:ext>
        </c:extLst>
      </c:lineChart>
      <c:dateAx>
        <c:axId val="18952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75728"/>
        <c:crosses val="autoZero"/>
        <c:auto val="1"/>
        <c:lblOffset val="100"/>
        <c:baseTimeUnit val="months"/>
      </c:dateAx>
      <c:valAx>
        <c:axId val="18952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Ernollees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Enrollees by Month (Total vs Group VIII)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Combined!$C$1</c:f>
              <c:strCache>
                <c:ptCount val="1"/>
                <c:pt idx="0">
                  <c:v>Delta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Combined!$A$2:$A$82</c:f>
              <c:numCache>
                <c:formatCode>mmm\-yy</c:formatCode>
                <c:ptCount val="8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</c:numCache>
            </c:numRef>
          </c:cat>
          <c:val>
            <c:numRef>
              <c:f>Combined!$C$2:$C$82</c:f>
              <c:numCache>
                <c:formatCode>0.00%</c:formatCode>
                <c:ptCount val="81"/>
                <c:pt idx="0" formatCode="General">
                  <c:v>0</c:v>
                </c:pt>
                <c:pt idx="1">
                  <c:v>-3.1805371685483821E-3</c:v>
                </c:pt>
                <c:pt idx="2">
                  <c:v>-1.8783745880144834E-3</c:v>
                </c:pt>
                <c:pt idx="3">
                  <c:v>-1.0983783363038176E-3</c:v>
                </c:pt>
                <c:pt idx="4">
                  <c:v>-2.603452719932594E-3</c:v>
                </c:pt>
                <c:pt idx="5">
                  <c:v>-5.6182790617375E-3</c:v>
                </c:pt>
                <c:pt idx="6">
                  <c:v>5.193975872145499E-3</c:v>
                </c:pt>
                <c:pt idx="7">
                  <c:v>-3.7781841458603116E-3</c:v>
                </c:pt>
                <c:pt idx="8">
                  <c:v>-7.6234270837162279E-3</c:v>
                </c:pt>
                <c:pt idx="9">
                  <c:v>4.1532470394287689E-3</c:v>
                </c:pt>
                <c:pt idx="10">
                  <c:v>-3.6029750091646955E-3</c:v>
                </c:pt>
                <c:pt idx="11">
                  <c:v>-1.0000671954696351E-2</c:v>
                </c:pt>
                <c:pt idx="12">
                  <c:v>8.0973655225385008E-3</c:v>
                </c:pt>
                <c:pt idx="13">
                  <c:v>-2.9554211244259784E-3</c:v>
                </c:pt>
                <c:pt idx="14">
                  <c:v>-3.6689277696577817E-3</c:v>
                </c:pt>
                <c:pt idx="15">
                  <c:v>2.5835110011597599E-3</c:v>
                </c:pt>
                <c:pt idx="16">
                  <c:v>-3.4387842965793707E-3</c:v>
                </c:pt>
                <c:pt idx="17">
                  <c:v>-7.9835478539556845E-3</c:v>
                </c:pt>
                <c:pt idx="18">
                  <c:v>3.6767076757546683E-3</c:v>
                </c:pt>
                <c:pt idx="19">
                  <c:v>7.3703908811313581E-3</c:v>
                </c:pt>
                <c:pt idx="20">
                  <c:v>7.8313551658065177E-3</c:v>
                </c:pt>
                <c:pt idx="21">
                  <c:v>-8.115638318783161E-3</c:v>
                </c:pt>
                <c:pt idx="22">
                  <c:v>-5.1861878678934482E-3</c:v>
                </c:pt>
                <c:pt idx="23">
                  <c:v>-4.9240216762980989E-3</c:v>
                </c:pt>
                <c:pt idx="24">
                  <c:v>6.4327342518326136E-3</c:v>
                </c:pt>
                <c:pt idx="25">
                  <c:v>-3.8626806769462025E-3</c:v>
                </c:pt>
                <c:pt idx="26">
                  <c:v>-2.2558601452949368E-3</c:v>
                </c:pt>
                <c:pt idx="27">
                  <c:v>2.4754000800232077E-2</c:v>
                </c:pt>
                <c:pt idx="28">
                  <c:v>1.3865503823314798E-2</c:v>
                </c:pt>
                <c:pt idx="29">
                  <c:v>1.1475101829472553E-2</c:v>
                </c:pt>
                <c:pt idx="30">
                  <c:v>1.6062562167319962E-2</c:v>
                </c:pt>
                <c:pt idx="31">
                  <c:v>1.1268937592160591E-2</c:v>
                </c:pt>
                <c:pt idx="32">
                  <c:v>9.1741975379419187E-3</c:v>
                </c:pt>
                <c:pt idx="33">
                  <c:v>3.595529856022045E-2</c:v>
                </c:pt>
                <c:pt idx="34">
                  <c:v>1.3979553568214885E-2</c:v>
                </c:pt>
                <c:pt idx="35">
                  <c:v>-1.9923541593996005E-2</c:v>
                </c:pt>
                <c:pt idx="36">
                  <c:v>1.8924455250252176E-2</c:v>
                </c:pt>
                <c:pt idx="37">
                  <c:v>5.8075503018233656E-3</c:v>
                </c:pt>
                <c:pt idx="38">
                  <c:v>6.009001651974267E-3</c:v>
                </c:pt>
                <c:pt idx="39">
                  <c:v>9.551373579295426E-3</c:v>
                </c:pt>
                <c:pt idx="40">
                  <c:v>5.7853641321582543E-3</c:v>
                </c:pt>
                <c:pt idx="41">
                  <c:v>4.161994393432609E-3</c:v>
                </c:pt>
                <c:pt idx="42">
                  <c:v>9.2694783400475086E-3</c:v>
                </c:pt>
                <c:pt idx="43">
                  <c:v>6.7810701659595882E-3</c:v>
                </c:pt>
                <c:pt idx="44">
                  <c:v>4.2402737054180297E-3</c:v>
                </c:pt>
                <c:pt idx="45">
                  <c:v>1.01162681852691E-2</c:v>
                </c:pt>
                <c:pt idx="46">
                  <c:v>6.9558399661176435E-3</c:v>
                </c:pt>
                <c:pt idx="47">
                  <c:v>2.5925758699577523E-3</c:v>
                </c:pt>
                <c:pt idx="48">
                  <c:v>9.8944929989069758E-3</c:v>
                </c:pt>
                <c:pt idx="49">
                  <c:v>3.9303116121397301E-3</c:v>
                </c:pt>
                <c:pt idx="50">
                  <c:v>4.6228731682242848E-3</c:v>
                </c:pt>
                <c:pt idx="51">
                  <c:v>0.12097967155828193</c:v>
                </c:pt>
                <c:pt idx="52">
                  <c:v>-9.6315319335342958E-2</c:v>
                </c:pt>
                <c:pt idx="53">
                  <c:v>4.9553830309853114E-3</c:v>
                </c:pt>
                <c:pt idx="54">
                  <c:v>6.2851176205875976E-3</c:v>
                </c:pt>
                <c:pt idx="55">
                  <c:v>7.492142639706963E-3</c:v>
                </c:pt>
                <c:pt idx="56">
                  <c:v>4.3635560424463218E-3</c:v>
                </c:pt>
                <c:pt idx="57">
                  <c:v>6.8797254784614239E-3</c:v>
                </c:pt>
                <c:pt idx="58">
                  <c:v>5.4573040244467177E-3</c:v>
                </c:pt>
                <c:pt idx="59">
                  <c:v>3.9102376972888668E-3</c:v>
                </c:pt>
                <c:pt idx="60">
                  <c:v>9.4993632382601619E-3</c:v>
                </c:pt>
                <c:pt idx="61">
                  <c:v>3.0742338751060245E-3</c:v>
                </c:pt>
                <c:pt idx="62">
                  <c:v>8.5670580427488572E-3</c:v>
                </c:pt>
                <c:pt idx="63">
                  <c:v>2.0501977411847335E-3</c:v>
                </c:pt>
                <c:pt idx="64">
                  <c:v>-3.6540163980740325E-3</c:v>
                </c:pt>
                <c:pt idx="65">
                  <c:v>-1.2081233417831115E-2</c:v>
                </c:pt>
                <c:pt idx="66">
                  <c:v>-6.8246933660143271E-3</c:v>
                </c:pt>
                <c:pt idx="67">
                  <c:v>-1.260814050549385E-2</c:v>
                </c:pt>
                <c:pt idx="68">
                  <c:v>-1.3327611888489533E-2</c:v>
                </c:pt>
                <c:pt idx="69">
                  <c:v>-1.6113875315529259E-2</c:v>
                </c:pt>
                <c:pt idx="70">
                  <c:v>-1.8479978916758937E-2</c:v>
                </c:pt>
                <c:pt idx="71">
                  <c:v>-1.6823241492358677E-2</c:v>
                </c:pt>
                <c:pt idx="72">
                  <c:v>-5.9806985297062324E-3</c:v>
                </c:pt>
                <c:pt idx="73">
                  <c:v>-8.185816581569156E-3</c:v>
                </c:pt>
                <c:pt idx="74">
                  <c:v>-9.0820128031017314E-3</c:v>
                </c:pt>
                <c:pt idx="75">
                  <c:v>-1.272410706465679E-2</c:v>
                </c:pt>
                <c:pt idx="76">
                  <c:v>-1.0983449005063525E-2</c:v>
                </c:pt>
                <c:pt idx="77">
                  <c:v>-1.205751333274762E-2</c:v>
                </c:pt>
                <c:pt idx="78">
                  <c:v>-1.6223190398300251E-4</c:v>
                </c:pt>
                <c:pt idx="79">
                  <c:v>-2.3001062235052387E-3</c:v>
                </c:pt>
                <c:pt idx="80">
                  <c:v>-3.319395850682326E-3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65-4F92-9A3C-9744B442A50D}"/>
            </c:ext>
          </c:extLst>
        </c:ser>
        <c:ser>
          <c:idx val="3"/>
          <c:order val="3"/>
          <c:tx>
            <c:strRef>
              <c:f>Combined!$E$1</c:f>
              <c:strCache>
                <c:ptCount val="1"/>
                <c:pt idx="0">
                  <c:v>Delta VIII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Combined!$A$2:$A$82</c:f>
              <c:numCache>
                <c:formatCode>mmm\-yy</c:formatCode>
                <c:ptCount val="8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</c:numCache>
            </c:numRef>
          </c:cat>
          <c:val>
            <c:numRef>
              <c:f>Combined!$E$2:$E$82</c:f>
              <c:numCache>
                <c:formatCode>0.00%</c:formatCode>
                <c:ptCount val="81"/>
                <c:pt idx="0" formatCode="General">
                  <c:v>0</c:v>
                </c:pt>
                <c:pt idx="1">
                  <c:v>-1.0267982239501008E-2</c:v>
                </c:pt>
                <c:pt idx="2">
                  <c:v>-9.7690104002692521E-4</c:v>
                </c:pt>
                <c:pt idx="3">
                  <c:v>-1.9280060491181793E-3</c:v>
                </c:pt>
                <c:pt idx="4">
                  <c:v>-2.2310649898973785E-3</c:v>
                </c:pt>
                <c:pt idx="5">
                  <c:v>-8.0028235961758856E-3</c:v>
                </c:pt>
                <c:pt idx="6">
                  <c:v>6.2589941058709857E-4</c:v>
                </c:pt>
                <c:pt idx="7">
                  <c:v>-3.8556480781054368E-3</c:v>
                </c:pt>
                <c:pt idx="8">
                  <c:v>-7.7752592603278657E-3</c:v>
                </c:pt>
                <c:pt idx="9">
                  <c:v>4.3315123054297093E-3</c:v>
                </c:pt>
                <c:pt idx="10">
                  <c:v>-7.2748459912736537E-3</c:v>
                </c:pt>
                <c:pt idx="11">
                  <c:v>-4.7594496153967169E-3</c:v>
                </c:pt>
                <c:pt idx="12">
                  <c:v>2.0686742454518146E-2</c:v>
                </c:pt>
                <c:pt idx="13">
                  <c:v>-1.0524048469208445E-3</c:v>
                </c:pt>
                <c:pt idx="14">
                  <c:v>-6.0045418572107518E-4</c:v>
                </c:pt>
                <c:pt idx="15">
                  <c:v>1.4923217326477116E-3</c:v>
                </c:pt>
                <c:pt idx="16">
                  <c:v>-4.0448659202810492E-3</c:v>
                </c:pt>
                <c:pt idx="17">
                  <c:v>-8.4348689128653821E-3</c:v>
                </c:pt>
                <c:pt idx="18">
                  <c:v>-1.5218634892058651E-2</c:v>
                </c:pt>
                <c:pt idx="19">
                  <c:v>3.2025199817094244E-2</c:v>
                </c:pt>
                <c:pt idx="20">
                  <c:v>-4.0820106009328153E-3</c:v>
                </c:pt>
                <c:pt idx="21">
                  <c:v>3.3096362292326831E-3</c:v>
                </c:pt>
                <c:pt idx="22">
                  <c:v>-4.8941010833626168E-3</c:v>
                </c:pt>
                <c:pt idx="23">
                  <c:v>-2.0759217188344096E-3</c:v>
                </c:pt>
                <c:pt idx="24">
                  <c:v>1.4503364341789046E-2</c:v>
                </c:pt>
                <c:pt idx="25">
                  <c:v>-5.0940863278000383E-3</c:v>
                </c:pt>
                <c:pt idx="26">
                  <c:v>2.1759752770089875E-4</c:v>
                </c:pt>
                <c:pt idx="27">
                  <c:v>3.7121253933046258E-2</c:v>
                </c:pt>
                <c:pt idx="28">
                  <c:v>1.9674663130168923E-2</c:v>
                </c:pt>
                <c:pt idx="29">
                  <c:v>1.919832517159838E-2</c:v>
                </c:pt>
                <c:pt idx="30">
                  <c:v>2.4487168736950379E-2</c:v>
                </c:pt>
                <c:pt idx="31">
                  <c:v>1.9527141237334889E-2</c:v>
                </c:pt>
                <c:pt idx="32">
                  <c:v>1.3684157597795815E-2</c:v>
                </c:pt>
                <c:pt idx="33">
                  <c:v>5.1214632977748968E-2</c:v>
                </c:pt>
                <c:pt idx="34">
                  <c:v>-1.5215769612387272E-2</c:v>
                </c:pt>
                <c:pt idx="35">
                  <c:v>2.0438241727510582E-2</c:v>
                </c:pt>
                <c:pt idx="36">
                  <c:v>3.229433840323416E-2</c:v>
                </c:pt>
                <c:pt idx="37">
                  <c:v>1.1604836474508272E-2</c:v>
                </c:pt>
                <c:pt idx="38">
                  <c:v>1.0820479445079721E-2</c:v>
                </c:pt>
                <c:pt idx="39">
                  <c:v>1.2960995541953362E-2</c:v>
                </c:pt>
                <c:pt idx="40">
                  <c:v>8.5488020733345167E-3</c:v>
                </c:pt>
                <c:pt idx="41">
                  <c:v>7.1401785014937307E-3</c:v>
                </c:pt>
                <c:pt idx="42">
                  <c:v>1.4636018288488661E-2</c:v>
                </c:pt>
                <c:pt idx="43">
                  <c:v>1.0461133456428278E-2</c:v>
                </c:pt>
                <c:pt idx="44">
                  <c:v>7.924949485820617E-3</c:v>
                </c:pt>
                <c:pt idx="45">
                  <c:v>1.5585691948175362E-2</c:v>
                </c:pt>
                <c:pt idx="46">
                  <c:v>9.3614220467048235E-3</c:v>
                </c:pt>
                <c:pt idx="47">
                  <c:v>9.364341574226007E-3</c:v>
                </c:pt>
                <c:pt idx="48">
                  <c:v>1.1295017481111716E-2</c:v>
                </c:pt>
                <c:pt idx="49">
                  <c:v>6.4323691398035258E-3</c:v>
                </c:pt>
                <c:pt idx="50">
                  <c:v>6.6938195370197691E-3</c:v>
                </c:pt>
                <c:pt idx="51">
                  <c:v>0.48636156840920652</c:v>
                </c:pt>
                <c:pt idx="52">
                  <c:v>-0.3142040875609115</c:v>
                </c:pt>
                <c:pt idx="53">
                  <c:v>7.200521802573431E-3</c:v>
                </c:pt>
                <c:pt idx="54">
                  <c:v>6.752130581026812E-3</c:v>
                </c:pt>
                <c:pt idx="55">
                  <c:v>9.7994285228605819E-3</c:v>
                </c:pt>
                <c:pt idx="56">
                  <c:v>6.834158590787235E-3</c:v>
                </c:pt>
                <c:pt idx="57">
                  <c:v>1.0537383110767748E-2</c:v>
                </c:pt>
                <c:pt idx="58">
                  <c:v>7.9288290058852524E-3</c:v>
                </c:pt>
                <c:pt idx="59">
                  <c:v>7.7069988840849819E-3</c:v>
                </c:pt>
                <c:pt idx="60">
                  <c:v>1.3414333074258558E-2</c:v>
                </c:pt>
                <c:pt idx="61">
                  <c:v>5.7298689557862036E-3</c:v>
                </c:pt>
                <c:pt idx="62">
                  <c:v>1.2253815771911624E-2</c:v>
                </c:pt>
                <c:pt idx="63">
                  <c:v>-3.0103608850546434E-3</c:v>
                </c:pt>
                <c:pt idx="64">
                  <c:v>1.1683788486807922E-3</c:v>
                </c:pt>
                <c:pt idx="65">
                  <c:v>-9.8082822237597067E-3</c:v>
                </c:pt>
                <c:pt idx="66">
                  <c:v>-4.7825947620314677E-3</c:v>
                </c:pt>
                <c:pt idx="67">
                  <c:v>-1.6117832627382596E-2</c:v>
                </c:pt>
                <c:pt idx="68">
                  <c:v>-1.5863291336581344E-2</c:v>
                </c:pt>
                <c:pt idx="69">
                  <c:v>-1.4319633766559396E-2</c:v>
                </c:pt>
                <c:pt idx="70">
                  <c:v>-1.8254982968182877E-2</c:v>
                </c:pt>
                <c:pt idx="71">
                  <c:v>-4.7188482624267985E-3</c:v>
                </c:pt>
                <c:pt idx="72">
                  <c:v>-4.8795165082356996E-3</c:v>
                </c:pt>
                <c:pt idx="73">
                  <c:v>-1.200564775336784E-2</c:v>
                </c:pt>
                <c:pt idx="74">
                  <c:v>-1.4949135806705744E-2</c:v>
                </c:pt>
                <c:pt idx="75">
                  <c:v>-1.1582453589148068E-2</c:v>
                </c:pt>
                <c:pt idx="76">
                  <c:v>-1.6241953300575172E-2</c:v>
                </c:pt>
                <c:pt idx="77">
                  <c:v>-1.749541124080627E-2</c:v>
                </c:pt>
                <c:pt idx="78">
                  <c:v>-5.6525685216474303E-3</c:v>
                </c:pt>
                <c:pt idx="79">
                  <c:v>-2.335928246763107E-3</c:v>
                </c:pt>
                <c:pt idx="80">
                  <c:v>-4.6626449517225251E-3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65-4F92-9A3C-9744B442A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75248"/>
        <c:axId val="1895275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Combined!$B$1</c15:sqref>
                        </c15:formulaRef>
                      </c:ext>
                    </c:extLst>
                    <c:strCache>
                      <c:ptCount val="1"/>
                      <c:pt idx="0">
                        <c:v>Total Enrollees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Combined!$A$2:$A$82</c15:sqref>
                        </c15:formulaRef>
                      </c:ext>
                    </c:extLst>
                    <c:numCache>
                      <c:formatCode>mmm\-yy</c:formatCode>
                      <c:ptCount val="81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  <c:pt idx="37">
                        <c:v>44228</c:v>
                      </c:pt>
                      <c:pt idx="38">
                        <c:v>44256</c:v>
                      </c:pt>
                      <c:pt idx="39">
                        <c:v>44287</c:v>
                      </c:pt>
                      <c:pt idx="40">
                        <c:v>44317</c:v>
                      </c:pt>
                      <c:pt idx="41">
                        <c:v>44348</c:v>
                      </c:pt>
                      <c:pt idx="42">
                        <c:v>44378</c:v>
                      </c:pt>
                      <c:pt idx="43">
                        <c:v>44409</c:v>
                      </c:pt>
                      <c:pt idx="44">
                        <c:v>44440</c:v>
                      </c:pt>
                      <c:pt idx="45">
                        <c:v>44470</c:v>
                      </c:pt>
                      <c:pt idx="46">
                        <c:v>44501</c:v>
                      </c:pt>
                      <c:pt idx="47">
                        <c:v>44531</c:v>
                      </c:pt>
                      <c:pt idx="48">
                        <c:v>44562</c:v>
                      </c:pt>
                      <c:pt idx="49">
                        <c:v>44593</c:v>
                      </c:pt>
                      <c:pt idx="50">
                        <c:v>44621</c:v>
                      </c:pt>
                      <c:pt idx="51">
                        <c:v>44652</c:v>
                      </c:pt>
                      <c:pt idx="52">
                        <c:v>44682</c:v>
                      </c:pt>
                      <c:pt idx="53">
                        <c:v>44713</c:v>
                      </c:pt>
                      <c:pt idx="54">
                        <c:v>44743</c:v>
                      </c:pt>
                      <c:pt idx="55">
                        <c:v>44774</c:v>
                      </c:pt>
                      <c:pt idx="56">
                        <c:v>44805</c:v>
                      </c:pt>
                      <c:pt idx="57">
                        <c:v>44835</c:v>
                      </c:pt>
                      <c:pt idx="58">
                        <c:v>44866</c:v>
                      </c:pt>
                      <c:pt idx="59">
                        <c:v>44896</c:v>
                      </c:pt>
                      <c:pt idx="60">
                        <c:v>44927</c:v>
                      </c:pt>
                      <c:pt idx="61">
                        <c:v>44958</c:v>
                      </c:pt>
                      <c:pt idx="62">
                        <c:v>44986</c:v>
                      </c:pt>
                      <c:pt idx="63">
                        <c:v>45017</c:v>
                      </c:pt>
                      <c:pt idx="64">
                        <c:v>45047</c:v>
                      </c:pt>
                      <c:pt idx="65">
                        <c:v>45078</c:v>
                      </c:pt>
                      <c:pt idx="66">
                        <c:v>45108</c:v>
                      </c:pt>
                      <c:pt idx="67">
                        <c:v>45139</c:v>
                      </c:pt>
                      <c:pt idx="68">
                        <c:v>45170</c:v>
                      </c:pt>
                      <c:pt idx="69">
                        <c:v>45200</c:v>
                      </c:pt>
                      <c:pt idx="70">
                        <c:v>45231</c:v>
                      </c:pt>
                      <c:pt idx="71">
                        <c:v>45261</c:v>
                      </c:pt>
                      <c:pt idx="72">
                        <c:v>45292</c:v>
                      </c:pt>
                      <c:pt idx="73">
                        <c:v>45323</c:v>
                      </c:pt>
                      <c:pt idx="74">
                        <c:v>45352</c:v>
                      </c:pt>
                      <c:pt idx="75">
                        <c:v>45383</c:v>
                      </c:pt>
                      <c:pt idx="76">
                        <c:v>45413</c:v>
                      </c:pt>
                      <c:pt idx="77">
                        <c:v>45444</c:v>
                      </c:pt>
                      <c:pt idx="78">
                        <c:v>45474</c:v>
                      </c:pt>
                      <c:pt idx="79">
                        <c:v>45505</c:v>
                      </c:pt>
                      <c:pt idx="80">
                        <c:v>45536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Combined!$B$2:$B$82</c15:sqref>
                        </c15:formulaRef>
                      </c:ext>
                    </c:extLst>
                    <c:numCache>
                      <c:formatCode>#,##0_);[Red]\(#,##0\)</c:formatCode>
                      <c:ptCount val="81"/>
                      <c:pt idx="0">
                        <c:v>77061511</c:v>
                      </c:pt>
                      <c:pt idx="1">
                        <c:v>76816414</c:v>
                      </c:pt>
                      <c:pt idx="2">
                        <c:v>76672124</c:v>
                      </c:pt>
                      <c:pt idx="3">
                        <c:v>76587909</c:v>
                      </c:pt>
                      <c:pt idx="4">
                        <c:v>76388516</c:v>
                      </c:pt>
                      <c:pt idx="5">
                        <c:v>75959344</c:v>
                      </c:pt>
                      <c:pt idx="6">
                        <c:v>76353875</c:v>
                      </c:pt>
                      <c:pt idx="7">
                        <c:v>76065396</c:v>
                      </c:pt>
                      <c:pt idx="8">
                        <c:v>75485517</c:v>
                      </c:pt>
                      <c:pt idx="9">
                        <c:v>75799027</c:v>
                      </c:pt>
                      <c:pt idx="10">
                        <c:v>75525925</c:v>
                      </c:pt>
                      <c:pt idx="11">
                        <c:v>74770615</c:v>
                      </c:pt>
                      <c:pt idx="12">
                        <c:v>75376060</c:v>
                      </c:pt>
                      <c:pt idx="13">
                        <c:v>75153292</c:v>
                      </c:pt>
                      <c:pt idx="14">
                        <c:v>74877560</c:v>
                      </c:pt>
                      <c:pt idx="15">
                        <c:v>75071007</c:v>
                      </c:pt>
                      <c:pt idx="16">
                        <c:v>74812854</c:v>
                      </c:pt>
                      <c:pt idx="17">
                        <c:v>74215582</c:v>
                      </c:pt>
                      <c:pt idx="18">
                        <c:v>74488451</c:v>
                      </c:pt>
                      <c:pt idx="19">
                        <c:v>75037460</c:v>
                      </c:pt>
                      <c:pt idx="20">
                        <c:v>75625105</c:v>
                      </c:pt>
                      <c:pt idx="21">
                        <c:v>75011359</c:v>
                      </c:pt>
                      <c:pt idx="22">
                        <c:v>74622336</c:v>
                      </c:pt>
                      <c:pt idx="23">
                        <c:v>74254894</c:v>
                      </c:pt>
                      <c:pt idx="24">
                        <c:v>74732556</c:v>
                      </c:pt>
                      <c:pt idx="25">
                        <c:v>74443888</c:v>
                      </c:pt>
                      <c:pt idx="26">
                        <c:v>74275953</c:v>
                      </c:pt>
                      <c:pt idx="27">
                        <c:v>76114580</c:v>
                      </c:pt>
                      <c:pt idx="28">
                        <c:v>77169947</c:v>
                      </c:pt>
                      <c:pt idx="29">
                        <c:v>78055480</c:v>
                      </c:pt>
                      <c:pt idx="30">
                        <c:v>79309251</c:v>
                      </c:pt>
                      <c:pt idx="31">
                        <c:v>80202982</c:v>
                      </c:pt>
                      <c:pt idx="32">
                        <c:v>80938780</c:v>
                      </c:pt>
                      <c:pt idx="33">
                        <c:v>83848958</c:v>
                      </c:pt>
                      <c:pt idx="34">
                        <c:v>85021129</c:v>
                      </c:pt>
                      <c:pt idx="35">
                        <c:v>83327207</c:v>
                      </c:pt>
                      <c:pt idx="36">
                        <c:v>84904129</c:v>
                      </c:pt>
                      <c:pt idx="37">
                        <c:v>85397214</c:v>
                      </c:pt>
                      <c:pt idx="38">
                        <c:v>85910366</c:v>
                      </c:pt>
                      <c:pt idx="39">
                        <c:v>86730928</c:v>
                      </c:pt>
                      <c:pt idx="40">
                        <c:v>87232698</c:v>
                      </c:pt>
                      <c:pt idx="41">
                        <c:v>87595760</c:v>
                      </c:pt>
                      <c:pt idx="42">
                        <c:v>88407727</c:v>
                      </c:pt>
                      <c:pt idx="43">
                        <c:v>89007226</c:v>
                      </c:pt>
                      <c:pt idx="44">
                        <c:v>89384641</c:v>
                      </c:pt>
                      <c:pt idx="45">
                        <c:v>90288880</c:v>
                      </c:pt>
                      <c:pt idx="46">
                        <c:v>90916915</c:v>
                      </c:pt>
                      <c:pt idx="47">
                        <c:v>91152624</c:v>
                      </c:pt>
                      <c:pt idx="48">
                        <c:v>92054533</c:v>
                      </c:pt>
                      <c:pt idx="49">
                        <c:v>92416336</c:v>
                      </c:pt>
                      <c:pt idx="50">
                        <c:v>92843565</c:v>
                      </c:pt>
                      <c:pt idx="51">
                        <c:v>104075749</c:v>
                      </c:pt>
                      <c:pt idx="52">
                        <c:v>94051660</c:v>
                      </c:pt>
                      <c:pt idx="53">
                        <c:v>94517722</c:v>
                      </c:pt>
                      <c:pt idx="54">
                        <c:v>95111777</c:v>
                      </c:pt>
                      <c:pt idx="55">
                        <c:v>95824368</c:v>
                      </c:pt>
                      <c:pt idx="56">
                        <c:v>96242503</c:v>
                      </c:pt>
                      <c:pt idx="57">
                        <c:v>96904625</c:v>
                      </c:pt>
                      <c:pt idx="58">
                        <c:v>97433463</c:v>
                      </c:pt>
                      <c:pt idx="59">
                        <c:v>97814451</c:v>
                      </c:pt>
                      <c:pt idx="60">
                        <c:v>98743626</c:v>
                      </c:pt>
                      <c:pt idx="61">
                        <c:v>99047187</c:v>
                      </c:pt>
                      <c:pt idx="62">
                        <c:v>99895730</c:v>
                      </c:pt>
                      <c:pt idx="63">
                        <c:v>100100536</c:v>
                      </c:pt>
                      <c:pt idx="64">
                        <c:v>99734767</c:v>
                      </c:pt>
                      <c:pt idx="65">
                        <c:v>98529848</c:v>
                      </c:pt>
                      <c:pt idx="66">
                        <c:v>97857412</c:v>
                      </c:pt>
                      <c:pt idx="67">
                        <c:v>96623612</c:v>
                      </c:pt>
                      <c:pt idx="68">
                        <c:v>95335850</c:v>
                      </c:pt>
                      <c:pt idx="69">
                        <c:v>93799620</c:v>
                      </c:pt>
                      <c:pt idx="70">
                        <c:v>92066205</c:v>
                      </c:pt>
                      <c:pt idx="71">
                        <c:v>90517353</c:v>
                      </c:pt>
                      <c:pt idx="72">
                        <c:v>89975996</c:v>
                      </c:pt>
                      <c:pt idx="73">
                        <c:v>89239469</c:v>
                      </c:pt>
                      <c:pt idx="74">
                        <c:v>88428995</c:v>
                      </c:pt>
                      <c:pt idx="75">
                        <c:v>87303815</c:v>
                      </c:pt>
                      <c:pt idx="76">
                        <c:v>86344918</c:v>
                      </c:pt>
                      <c:pt idx="77">
                        <c:v>85303813</c:v>
                      </c:pt>
                      <c:pt idx="78">
                        <c:v>85289974</c:v>
                      </c:pt>
                      <c:pt idx="79">
                        <c:v>85093798</c:v>
                      </c:pt>
                      <c:pt idx="80">
                        <c:v>84811338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165-4F92-9A3C-9744B442A50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Combined!$D$1</c15:sqref>
                        </c15:formulaRef>
                      </c:ext>
                    </c:extLst>
                    <c:strCache>
                      <c:ptCount val="1"/>
                      <c:pt idx="0">
                        <c:v>Total Group VIII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Combined!$A$2:$A$82</c15:sqref>
                        </c15:formulaRef>
                      </c:ext>
                    </c:extLst>
                    <c:numCache>
                      <c:formatCode>mmm\-yy</c:formatCode>
                      <c:ptCount val="81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  <c:pt idx="37">
                        <c:v>44228</c:v>
                      </c:pt>
                      <c:pt idx="38">
                        <c:v>44256</c:v>
                      </c:pt>
                      <c:pt idx="39">
                        <c:v>44287</c:v>
                      </c:pt>
                      <c:pt idx="40">
                        <c:v>44317</c:v>
                      </c:pt>
                      <c:pt idx="41">
                        <c:v>44348</c:v>
                      </c:pt>
                      <c:pt idx="42">
                        <c:v>44378</c:v>
                      </c:pt>
                      <c:pt idx="43">
                        <c:v>44409</c:v>
                      </c:pt>
                      <c:pt idx="44">
                        <c:v>44440</c:v>
                      </c:pt>
                      <c:pt idx="45">
                        <c:v>44470</c:v>
                      </c:pt>
                      <c:pt idx="46">
                        <c:v>44501</c:v>
                      </c:pt>
                      <c:pt idx="47">
                        <c:v>44531</c:v>
                      </c:pt>
                      <c:pt idx="48">
                        <c:v>44562</c:v>
                      </c:pt>
                      <c:pt idx="49">
                        <c:v>44593</c:v>
                      </c:pt>
                      <c:pt idx="50">
                        <c:v>44621</c:v>
                      </c:pt>
                      <c:pt idx="51">
                        <c:v>44652</c:v>
                      </c:pt>
                      <c:pt idx="52">
                        <c:v>44682</c:v>
                      </c:pt>
                      <c:pt idx="53">
                        <c:v>44713</c:v>
                      </c:pt>
                      <c:pt idx="54">
                        <c:v>44743</c:v>
                      </c:pt>
                      <c:pt idx="55">
                        <c:v>44774</c:v>
                      </c:pt>
                      <c:pt idx="56">
                        <c:v>44805</c:v>
                      </c:pt>
                      <c:pt idx="57">
                        <c:v>44835</c:v>
                      </c:pt>
                      <c:pt idx="58">
                        <c:v>44866</c:v>
                      </c:pt>
                      <c:pt idx="59">
                        <c:v>44896</c:v>
                      </c:pt>
                      <c:pt idx="60">
                        <c:v>44927</c:v>
                      </c:pt>
                      <c:pt idx="61">
                        <c:v>44958</c:v>
                      </c:pt>
                      <c:pt idx="62">
                        <c:v>44986</c:v>
                      </c:pt>
                      <c:pt idx="63">
                        <c:v>45017</c:v>
                      </c:pt>
                      <c:pt idx="64">
                        <c:v>45047</c:v>
                      </c:pt>
                      <c:pt idx="65">
                        <c:v>45078</c:v>
                      </c:pt>
                      <c:pt idx="66">
                        <c:v>45108</c:v>
                      </c:pt>
                      <c:pt idx="67">
                        <c:v>45139</c:v>
                      </c:pt>
                      <c:pt idx="68">
                        <c:v>45170</c:v>
                      </c:pt>
                      <c:pt idx="69">
                        <c:v>45200</c:v>
                      </c:pt>
                      <c:pt idx="70">
                        <c:v>45231</c:v>
                      </c:pt>
                      <c:pt idx="71">
                        <c:v>45261</c:v>
                      </c:pt>
                      <c:pt idx="72">
                        <c:v>45292</c:v>
                      </c:pt>
                      <c:pt idx="73">
                        <c:v>45323</c:v>
                      </c:pt>
                      <c:pt idx="74">
                        <c:v>45352</c:v>
                      </c:pt>
                      <c:pt idx="75">
                        <c:v>45383</c:v>
                      </c:pt>
                      <c:pt idx="76">
                        <c:v>45413</c:v>
                      </c:pt>
                      <c:pt idx="77">
                        <c:v>45444</c:v>
                      </c:pt>
                      <c:pt idx="78">
                        <c:v>45474</c:v>
                      </c:pt>
                      <c:pt idx="79">
                        <c:v>45505</c:v>
                      </c:pt>
                      <c:pt idx="80">
                        <c:v>45536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Combined!$D$2:$D$82</c15:sqref>
                        </c15:formulaRef>
                      </c:ext>
                    </c:extLst>
                    <c:numCache>
                      <c:formatCode>#,##0_);[Red]\(#,##0\)</c:formatCode>
                      <c:ptCount val="81"/>
                      <c:pt idx="0">
                        <c:v>15805637</c:v>
                      </c:pt>
                      <c:pt idx="1">
                        <c:v>15643345</c:v>
                      </c:pt>
                      <c:pt idx="2">
                        <c:v>15628063</c:v>
                      </c:pt>
                      <c:pt idx="3">
                        <c:v>15597932</c:v>
                      </c:pt>
                      <c:pt idx="4">
                        <c:v>15563132</c:v>
                      </c:pt>
                      <c:pt idx="5">
                        <c:v>15438583</c:v>
                      </c:pt>
                      <c:pt idx="6">
                        <c:v>15448246</c:v>
                      </c:pt>
                      <c:pt idx="7">
                        <c:v>15388683</c:v>
                      </c:pt>
                      <c:pt idx="8">
                        <c:v>15269032</c:v>
                      </c:pt>
                      <c:pt idx="9">
                        <c:v>15335170</c:v>
                      </c:pt>
                      <c:pt idx="10">
                        <c:v>15223609</c:v>
                      </c:pt>
                      <c:pt idx="11">
                        <c:v>15151153</c:v>
                      </c:pt>
                      <c:pt idx="12">
                        <c:v>15464581</c:v>
                      </c:pt>
                      <c:pt idx="13">
                        <c:v>15448306</c:v>
                      </c:pt>
                      <c:pt idx="14">
                        <c:v>15439030</c:v>
                      </c:pt>
                      <c:pt idx="15">
                        <c:v>15462070</c:v>
                      </c:pt>
                      <c:pt idx="16">
                        <c:v>15399528</c:v>
                      </c:pt>
                      <c:pt idx="17">
                        <c:v>15269635</c:v>
                      </c:pt>
                      <c:pt idx="18">
                        <c:v>15037252</c:v>
                      </c:pt>
                      <c:pt idx="19">
                        <c:v>15518823</c:v>
                      </c:pt>
                      <c:pt idx="20">
                        <c:v>15455475</c:v>
                      </c:pt>
                      <c:pt idx="21">
                        <c:v>15506627</c:v>
                      </c:pt>
                      <c:pt idx="22">
                        <c:v>15430736</c:v>
                      </c:pt>
                      <c:pt idx="23">
                        <c:v>15398703</c:v>
                      </c:pt>
                      <c:pt idx="24">
                        <c:v>15622036</c:v>
                      </c:pt>
                      <c:pt idx="25">
                        <c:v>15542456</c:v>
                      </c:pt>
                      <c:pt idx="26">
                        <c:v>15545838</c:v>
                      </c:pt>
                      <c:pt idx="27">
                        <c:v>16122919</c:v>
                      </c:pt>
                      <c:pt idx="28">
                        <c:v>16440132</c:v>
                      </c:pt>
                      <c:pt idx="29">
                        <c:v>16755755</c:v>
                      </c:pt>
                      <c:pt idx="30">
                        <c:v>17166056</c:v>
                      </c:pt>
                      <c:pt idx="31">
                        <c:v>17501260</c:v>
                      </c:pt>
                      <c:pt idx="32">
                        <c:v>17740750</c:v>
                      </c:pt>
                      <c:pt idx="33">
                        <c:v>18649336</c:v>
                      </c:pt>
                      <c:pt idx="34">
                        <c:v>18365572</c:v>
                      </c:pt>
                      <c:pt idx="35">
                        <c:v>18740932</c:v>
                      </c:pt>
                      <c:pt idx="36">
                        <c:v>19346158</c:v>
                      </c:pt>
                      <c:pt idx="37">
                        <c:v>19570667</c:v>
                      </c:pt>
                      <c:pt idx="38">
                        <c:v>19782431</c:v>
                      </c:pt>
                      <c:pt idx="39">
                        <c:v>20038831</c:v>
                      </c:pt>
                      <c:pt idx="40">
                        <c:v>20210139</c:v>
                      </c:pt>
                      <c:pt idx="41">
                        <c:v>20354443</c:v>
                      </c:pt>
                      <c:pt idx="42">
                        <c:v>20652351</c:v>
                      </c:pt>
                      <c:pt idx="43">
                        <c:v>20868398</c:v>
                      </c:pt>
                      <c:pt idx="44">
                        <c:v>21033779</c:v>
                      </c:pt>
                      <c:pt idx="45">
                        <c:v>21361605</c:v>
                      </c:pt>
                      <c:pt idx="46">
                        <c:v>21561580</c:v>
                      </c:pt>
                      <c:pt idx="47">
                        <c:v>21763490</c:v>
                      </c:pt>
                      <c:pt idx="48">
                        <c:v>22009309</c:v>
                      </c:pt>
                      <c:pt idx="49">
                        <c:v>22150881</c:v>
                      </c:pt>
                      <c:pt idx="50">
                        <c:v>22299155</c:v>
                      </c:pt>
                      <c:pt idx="51">
                        <c:v>33144607</c:v>
                      </c:pt>
                      <c:pt idx="52">
                        <c:v>22730436</c:v>
                      </c:pt>
                      <c:pt idx="53">
                        <c:v>22894107</c:v>
                      </c:pt>
                      <c:pt idx="54">
                        <c:v>23048691</c:v>
                      </c:pt>
                      <c:pt idx="55">
                        <c:v>23274555</c:v>
                      </c:pt>
                      <c:pt idx="56">
                        <c:v>23433617</c:v>
                      </c:pt>
                      <c:pt idx="57">
                        <c:v>23680546</c:v>
                      </c:pt>
                      <c:pt idx="58">
                        <c:v>23868305</c:v>
                      </c:pt>
                      <c:pt idx="59">
                        <c:v>24052258</c:v>
                      </c:pt>
                      <c:pt idx="60">
                        <c:v>24374903</c:v>
                      </c:pt>
                      <c:pt idx="61">
                        <c:v>24514568</c:v>
                      </c:pt>
                      <c:pt idx="62">
                        <c:v>24814965</c:v>
                      </c:pt>
                      <c:pt idx="63">
                        <c:v>24740263</c:v>
                      </c:pt>
                      <c:pt idx="64">
                        <c:v>24769169</c:v>
                      </c:pt>
                      <c:pt idx="65">
                        <c:v>24526226</c:v>
                      </c:pt>
                      <c:pt idx="66">
                        <c:v>24408927</c:v>
                      </c:pt>
                      <c:pt idx="67">
                        <c:v>24015508</c:v>
                      </c:pt>
                      <c:pt idx="68">
                        <c:v>23634543</c:v>
                      </c:pt>
                      <c:pt idx="69">
                        <c:v>23296105</c:v>
                      </c:pt>
                      <c:pt idx="70">
                        <c:v>22870835</c:v>
                      </c:pt>
                      <c:pt idx="71">
                        <c:v>22762911</c:v>
                      </c:pt>
                      <c:pt idx="72">
                        <c:v>22651839</c:v>
                      </c:pt>
                      <c:pt idx="73">
                        <c:v>22379889</c:v>
                      </c:pt>
                      <c:pt idx="74">
                        <c:v>22045329</c:v>
                      </c:pt>
                      <c:pt idx="75">
                        <c:v>21789990</c:v>
                      </c:pt>
                      <c:pt idx="76">
                        <c:v>21436078</c:v>
                      </c:pt>
                      <c:pt idx="77">
                        <c:v>21061045</c:v>
                      </c:pt>
                      <c:pt idx="78">
                        <c:v>20941996</c:v>
                      </c:pt>
                      <c:pt idx="79">
                        <c:v>20893077</c:v>
                      </c:pt>
                      <c:pt idx="80">
                        <c:v>20795660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65-4F92-9A3C-9744B442A50D}"/>
                  </c:ext>
                </c:extLst>
              </c15:ser>
            </c15:filteredLineSeries>
          </c:ext>
        </c:extLst>
      </c:lineChart>
      <c:dateAx>
        <c:axId val="18952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75728"/>
        <c:crosses val="autoZero"/>
        <c:auto val="1"/>
        <c:lblOffset val="100"/>
        <c:baseTimeUnit val="months"/>
      </c:dateAx>
      <c:valAx>
        <c:axId val="18952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Ernollees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600073</xdr:colOff>
      <xdr:row>0</xdr:row>
      <xdr:rowOff>185736</xdr:rowOff>
    </xdr:from>
    <xdr:to>
      <xdr:col>26</xdr:col>
      <xdr:colOff>238124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E62AD-0A36-4F10-7793-D086BE789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32</xdr:row>
      <xdr:rowOff>152400</xdr:rowOff>
    </xdr:from>
    <xdr:to>
      <xdr:col>26</xdr:col>
      <xdr:colOff>257176</xdr:colOff>
      <xdr:row>63</xdr:row>
      <xdr:rowOff>14289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D7ADBB-6D00-4099-A5E3-460ACEB4B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EF2EF6-2959-4D0F-B507-1109395A64F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992918b-9c97-40a1-a769-f8ce9ab59e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C5C9-8686-4B70-9BCC-1C134EFC45D1}">
  <dimension ref="A1:I82"/>
  <sheetViews>
    <sheetView tabSelected="1" zoomScaleNormal="100" workbookViewId="0">
      <selection activeCell="I37" sqref="I37"/>
    </sheetView>
  </sheetViews>
  <sheetFormatPr defaultRowHeight="15" x14ac:dyDescent="0.25"/>
  <cols>
    <col min="2" max="2" width="14.28515625" bestFit="1" customWidth="1"/>
    <col min="3" max="4" width="14.85546875" bestFit="1" customWidth="1"/>
    <col min="6" max="6" width="28.42578125" bestFit="1" customWidth="1"/>
    <col min="9" max="9" width="18.5703125" customWidth="1"/>
  </cols>
  <sheetData>
    <row r="1" spans="1:9" x14ac:dyDescent="0.25">
      <c r="A1" t="s">
        <v>222</v>
      </c>
      <c r="B1" t="s">
        <v>223</v>
      </c>
      <c r="C1" t="s">
        <v>225</v>
      </c>
      <c r="D1" t="s">
        <v>224</v>
      </c>
      <c r="E1" t="s">
        <v>226</v>
      </c>
      <c r="F1" t="s">
        <v>227</v>
      </c>
    </row>
    <row r="2" spans="1:9" x14ac:dyDescent="0.25">
      <c r="A2" s="13">
        <v>43101</v>
      </c>
      <c r="B2" s="14">
        <f>'January-2018'!B64</f>
        <v>77061511</v>
      </c>
      <c r="C2">
        <v>0</v>
      </c>
      <c r="D2" s="14">
        <f>'January-2018'!C64</f>
        <v>15805637</v>
      </c>
      <c r="E2">
        <v>0</v>
      </c>
      <c r="F2">
        <v>35</v>
      </c>
    </row>
    <row r="3" spans="1:9" x14ac:dyDescent="0.25">
      <c r="A3" s="13">
        <v>43132</v>
      </c>
      <c r="B3" s="14">
        <f>'February-2018'!B64</f>
        <v>76816414</v>
      </c>
      <c r="C3" s="15">
        <f>(B3-B2)/B2</f>
        <v>-3.1805371685483821E-3</v>
      </c>
      <c r="D3" s="14">
        <f>'February-2018'!C64</f>
        <v>15643345</v>
      </c>
      <c r="E3" s="15">
        <f>(D3-D2)/D2</f>
        <v>-1.0267982239501008E-2</v>
      </c>
      <c r="F3">
        <v>35</v>
      </c>
    </row>
    <row r="4" spans="1:9" x14ac:dyDescent="0.25">
      <c r="A4" s="13">
        <v>43160</v>
      </c>
      <c r="B4" s="14">
        <f>'March-2018'!B64</f>
        <v>76672124</v>
      </c>
      <c r="C4" s="15">
        <f t="shared" ref="C4:C67" si="0">(B4-B3)/B3</f>
        <v>-1.8783745880144834E-3</v>
      </c>
      <c r="D4" s="14">
        <f>'March-2018'!C64</f>
        <v>15628063</v>
      </c>
      <c r="E4" s="15">
        <f t="shared" ref="E4:E67" si="1">(D4-D3)/D3</f>
        <v>-9.7690104002692521E-4</v>
      </c>
      <c r="F4">
        <v>35</v>
      </c>
      <c r="I4" s="16"/>
    </row>
    <row r="5" spans="1:9" x14ac:dyDescent="0.25">
      <c r="A5" s="13">
        <v>43191</v>
      </c>
      <c r="B5" s="14">
        <f>'April-2018'!B64</f>
        <v>76587909</v>
      </c>
      <c r="C5" s="15">
        <f t="shared" si="0"/>
        <v>-1.0983783363038176E-3</v>
      </c>
      <c r="D5" s="14">
        <f>'April-2018'!C64</f>
        <v>15597932</v>
      </c>
      <c r="E5" s="15">
        <f t="shared" si="1"/>
        <v>-1.9280060491181793E-3</v>
      </c>
      <c r="F5">
        <v>35</v>
      </c>
    </row>
    <row r="6" spans="1:9" x14ac:dyDescent="0.25">
      <c r="A6" s="13">
        <v>43221</v>
      </c>
      <c r="B6" s="14">
        <f>'May-2018'!B64</f>
        <v>76388516</v>
      </c>
      <c r="C6" s="15">
        <f t="shared" si="0"/>
        <v>-2.603452719932594E-3</v>
      </c>
      <c r="D6" s="14">
        <f>'May-2018'!C64</f>
        <v>15563132</v>
      </c>
      <c r="E6" s="15">
        <f t="shared" si="1"/>
        <v>-2.2310649898973785E-3</v>
      </c>
      <c r="F6">
        <v>35</v>
      </c>
    </row>
    <row r="7" spans="1:9" x14ac:dyDescent="0.25">
      <c r="A7" s="13">
        <v>43252</v>
      </c>
      <c r="B7" s="14">
        <f>'June-2018'!B64</f>
        <v>75959344</v>
      </c>
      <c r="C7" s="15">
        <f t="shared" si="0"/>
        <v>-5.6182790617375E-3</v>
      </c>
      <c r="D7" s="14">
        <f>'June-2018'!C64</f>
        <v>15438583</v>
      </c>
      <c r="E7" s="15">
        <f t="shared" si="1"/>
        <v>-8.0028235961758856E-3</v>
      </c>
      <c r="F7">
        <v>35</v>
      </c>
    </row>
    <row r="8" spans="1:9" x14ac:dyDescent="0.25">
      <c r="A8" s="13">
        <v>43282</v>
      </c>
      <c r="B8" s="14">
        <f>'July-2018'!B64</f>
        <v>76353875</v>
      </c>
      <c r="C8" s="15">
        <f t="shared" si="0"/>
        <v>5.193975872145499E-3</v>
      </c>
      <c r="D8" s="14">
        <f>'July-2018'!C64</f>
        <v>15448246</v>
      </c>
      <c r="E8" s="15">
        <f t="shared" si="1"/>
        <v>6.2589941058709857E-4</v>
      </c>
      <c r="F8">
        <v>35</v>
      </c>
    </row>
    <row r="9" spans="1:9" x14ac:dyDescent="0.25">
      <c r="A9" s="13">
        <v>43313</v>
      </c>
      <c r="B9" s="14">
        <f>'August-2018'!B64</f>
        <v>76065396</v>
      </c>
      <c r="C9" s="15">
        <f t="shared" si="0"/>
        <v>-3.7781841458603116E-3</v>
      </c>
      <c r="D9" s="14">
        <f>'August-2018'!C64</f>
        <v>15388683</v>
      </c>
      <c r="E9" s="15">
        <f t="shared" si="1"/>
        <v>-3.8556480781054368E-3</v>
      </c>
      <c r="F9">
        <v>35</v>
      </c>
    </row>
    <row r="10" spans="1:9" x14ac:dyDescent="0.25">
      <c r="A10" s="13">
        <v>43344</v>
      </c>
      <c r="B10" s="14">
        <f>'September-2018'!B64</f>
        <v>75485517</v>
      </c>
      <c r="C10" s="15">
        <f t="shared" si="0"/>
        <v>-7.6234270837162279E-3</v>
      </c>
      <c r="D10" s="14">
        <f>'September-2018'!C64</f>
        <v>15269032</v>
      </c>
      <c r="E10" s="15">
        <f t="shared" si="1"/>
        <v>-7.7752592603278657E-3</v>
      </c>
      <c r="F10">
        <v>35</v>
      </c>
    </row>
    <row r="11" spans="1:9" x14ac:dyDescent="0.25">
      <c r="A11" s="13">
        <v>43374</v>
      </c>
      <c r="B11" s="14">
        <f>'October-2018'!B64</f>
        <v>75799027</v>
      </c>
      <c r="C11" s="15">
        <f t="shared" si="0"/>
        <v>4.1532470394287689E-3</v>
      </c>
      <c r="D11" s="14">
        <f>'October-2018'!C64</f>
        <v>15335170</v>
      </c>
      <c r="E11" s="15">
        <f t="shared" si="1"/>
        <v>4.3315123054297093E-3</v>
      </c>
      <c r="F11">
        <v>35</v>
      </c>
    </row>
    <row r="12" spans="1:9" x14ac:dyDescent="0.25">
      <c r="A12" s="13">
        <v>43405</v>
      </c>
      <c r="B12" s="14">
        <f>'November-2018'!B64</f>
        <v>75525925</v>
      </c>
      <c r="C12" s="15">
        <f t="shared" si="0"/>
        <v>-3.6029750091646955E-3</v>
      </c>
      <c r="D12" s="14">
        <f>'November-2018'!C64</f>
        <v>15223609</v>
      </c>
      <c r="E12" s="15">
        <f t="shared" si="1"/>
        <v>-7.2748459912736537E-3</v>
      </c>
      <c r="F12">
        <v>35</v>
      </c>
    </row>
    <row r="13" spans="1:9" x14ac:dyDescent="0.25">
      <c r="A13" s="13">
        <v>43435</v>
      </c>
      <c r="B13" s="14">
        <f>'December-2018'!B64</f>
        <v>74770615</v>
      </c>
      <c r="C13" s="15">
        <f t="shared" si="0"/>
        <v>-1.0000671954696351E-2</v>
      </c>
      <c r="D13" s="14">
        <f>'December-2018'!C64</f>
        <v>15151153</v>
      </c>
      <c r="E13" s="15">
        <f t="shared" si="1"/>
        <v>-4.7594496153967169E-3</v>
      </c>
      <c r="F13">
        <v>34</v>
      </c>
    </row>
    <row r="14" spans="1:9" x14ac:dyDescent="0.25">
      <c r="A14" s="13">
        <v>43466</v>
      </c>
      <c r="B14" s="14">
        <f>'January-2019'!B64</f>
        <v>75376060</v>
      </c>
      <c r="C14" s="15">
        <f t="shared" si="0"/>
        <v>8.0973655225385008E-3</v>
      </c>
      <c r="D14" s="14">
        <f>'January-2019'!C64</f>
        <v>15464581</v>
      </c>
      <c r="E14" s="15">
        <f t="shared" si="1"/>
        <v>2.0686742454518146E-2</v>
      </c>
      <c r="F14">
        <v>37</v>
      </c>
    </row>
    <row r="15" spans="1:9" x14ac:dyDescent="0.25">
      <c r="A15" s="13">
        <v>43497</v>
      </c>
      <c r="B15" s="14">
        <f>'February-2019'!B64</f>
        <v>75153292</v>
      </c>
      <c r="C15" s="15">
        <f t="shared" si="0"/>
        <v>-2.9554211244259784E-3</v>
      </c>
      <c r="D15" s="14">
        <f>'February-2019'!C64</f>
        <v>15448306</v>
      </c>
      <c r="E15" s="15">
        <f t="shared" si="1"/>
        <v>-1.0524048469208445E-3</v>
      </c>
      <c r="F15">
        <v>37</v>
      </c>
    </row>
    <row r="16" spans="1:9" x14ac:dyDescent="0.25">
      <c r="A16" s="13">
        <v>43525</v>
      </c>
      <c r="B16" s="14">
        <f>'March-2019'!B64</f>
        <v>74877560</v>
      </c>
      <c r="C16" s="15">
        <f t="shared" si="0"/>
        <v>-3.6689277696577817E-3</v>
      </c>
      <c r="D16" s="14">
        <f>'March-2019'!C64</f>
        <v>15439030</v>
      </c>
      <c r="E16" s="15">
        <f t="shared" si="1"/>
        <v>-6.0045418572107518E-4</v>
      </c>
      <c r="F16">
        <v>37</v>
      </c>
    </row>
    <row r="17" spans="1:6" x14ac:dyDescent="0.25">
      <c r="A17" s="13">
        <v>43556</v>
      </c>
      <c r="B17" s="14">
        <f>'April-2019'!B64</f>
        <v>75071007</v>
      </c>
      <c r="C17" s="15">
        <f t="shared" si="0"/>
        <v>2.5835110011597599E-3</v>
      </c>
      <c r="D17" s="14">
        <f>'April-2019'!C64</f>
        <v>15462070</v>
      </c>
      <c r="E17" s="15">
        <f t="shared" si="1"/>
        <v>1.4923217326477116E-3</v>
      </c>
      <c r="F17">
        <v>37</v>
      </c>
    </row>
    <row r="18" spans="1:6" x14ac:dyDescent="0.25">
      <c r="A18" s="13">
        <v>43586</v>
      </c>
      <c r="B18" s="14">
        <f>'May-2019'!B64</f>
        <v>74812854</v>
      </c>
      <c r="C18" s="15">
        <f t="shared" si="0"/>
        <v>-3.4387842965793707E-3</v>
      </c>
      <c r="D18" s="14">
        <f>'May-2019'!C64</f>
        <v>15399528</v>
      </c>
      <c r="E18" s="15">
        <f t="shared" si="1"/>
        <v>-4.0448659202810492E-3</v>
      </c>
      <c r="F18">
        <v>37</v>
      </c>
    </row>
    <row r="19" spans="1:6" x14ac:dyDescent="0.25">
      <c r="A19" s="13">
        <v>43617</v>
      </c>
      <c r="B19" s="14">
        <f>'June-2019'!B64</f>
        <v>74215582</v>
      </c>
      <c r="C19" s="15">
        <f t="shared" si="0"/>
        <v>-7.9835478539556845E-3</v>
      </c>
      <c r="D19" s="14">
        <f>'June-2019'!C64</f>
        <v>15269635</v>
      </c>
      <c r="E19" s="15">
        <f t="shared" si="1"/>
        <v>-8.4348689128653821E-3</v>
      </c>
      <c r="F19">
        <v>37</v>
      </c>
    </row>
    <row r="20" spans="1:6" x14ac:dyDescent="0.25">
      <c r="A20" s="13">
        <v>43647</v>
      </c>
      <c r="B20" s="14">
        <f>'July-2019'!B64</f>
        <v>74488451</v>
      </c>
      <c r="C20" s="15">
        <f t="shared" si="0"/>
        <v>3.6767076757546683E-3</v>
      </c>
      <c r="D20" s="14">
        <f>'July-2019'!C64</f>
        <v>15037252</v>
      </c>
      <c r="E20" s="15">
        <f t="shared" si="1"/>
        <v>-1.5218634892058651E-2</v>
      </c>
      <c r="F20">
        <v>37</v>
      </c>
    </row>
    <row r="21" spans="1:6" x14ac:dyDescent="0.25">
      <c r="A21" s="13">
        <v>43678</v>
      </c>
      <c r="B21" s="14">
        <f>'August-2019'!B64</f>
        <v>75037460</v>
      </c>
      <c r="C21" s="15">
        <f t="shared" si="0"/>
        <v>7.3703908811313581E-3</v>
      </c>
      <c r="D21" s="14">
        <f>'August-2019'!C64</f>
        <v>15518823</v>
      </c>
      <c r="E21" s="15">
        <f t="shared" si="1"/>
        <v>3.2025199817094244E-2</v>
      </c>
      <c r="F21">
        <v>37</v>
      </c>
    </row>
    <row r="22" spans="1:6" x14ac:dyDescent="0.25">
      <c r="A22" s="13">
        <v>43709</v>
      </c>
      <c r="B22" s="14">
        <f>'September-2019'!B64</f>
        <v>75625105</v>
      </c>
      <c r="C22" s="15">
        <f t="shared" si="0"/>
        <v>7.8313551658065177E-3</v>
      </c>
      <c r="D22" s="14">
        <f>'September-2019'!C64</f>
        <v>15455475</v>
      </c>
      <c r="E22" s="15">
        <f t="shared" si="1"/>
        <v>-4.0820106009328153E-3</v>
      </c>
      <c r="F22">
        <v>37</v>
      </c>
    </row>
    <row r="23" spans="1:6" x14ac:dyDescent="0.25">
      <c r="A23" s="13">
        <v>43739</v>
      </c>
      <c r="B23" s="14">
        <f>'October-2019'!B64</f>
        <v>75011359</v>
      </c>
      <c r="C23" s="15">
        <f t="shared" si="0"/>
        <v>-8.115638318783161E-3</v>
      </c>
      <c r="D23" s="14">
        <f>'October-2019'!C64</f>
        <v>15506627</v>
      </c>
      <c r="E23" s="15">
        <f t="shared" si="1"/>
        <v>3.3096362292326831E-3</v>
      </c>
      <c r="F23">
        <v>37</v>
      </c>
    </row>
    <row r="24" spans="1:6" x14ac:dyDescent="0.25">
      <c r="A24" s="13">
        <v>43770</v>
      </c>
      <c r="B24" s="14">
        <f>'November-2019'!B64</f>
        <v>74622336</v>
      </c>
      <c r="C24" s="15">
        <f t="shared" si="0"/>
        <v>-5.1861878678934482E-3</v>
      </c>
      <c r="D24" s="14">
        <f>'November-2019'!C64</f>
        <v>15430736</v>
      </c>
      <c r="E24" s="15">
        <f t="shared" si="1"/>
        <v>-4.8941010833626168E-3</v>
      </c>
      <c r="F24">
        <v>37</v>
      </c>
    </row>
    <row r="25" spans="1:6" x14ac:dyDescent="0.25">
      <c r="A25" s="13">
        <v>43800</v>
      </c>
      <c r="B25" s="14">
        <f>'December-2019'!B64</f>
        <v>74254894</v>
      </c>
      <c r="C25" s="15">
        <f t="shared" si="0"/>
        <v>-4.9240216762980989E-3</v>
      </c>
      <c r="D25" s="14">
        <f>'December-2019'!C64</f>
        <v>15398703</v>
      </c>
      <c r="E25" s="15">
        <f t="shared" si="1"/>
        <v>-2.0759217188344096E-3</v>
      </c>
      <c r="F25">
        <v>37</v>
      </c>
    </row>
    <row r="26" spans="1:6" x14ac:dyDescent="0.25">
      <c r="A26" s="13">
        <v>43831</v>
      </c>
      <c r="B26" s="14">
        <f>'January-2020'!B64</f>
        <v>74732556</v>
      </c>
      <c r="C26" s="15">
        <f t="shared" si="0"/>
        <v>6.4327342518326136E-3</v>
      </c>
      <c r="D26" s="14">
        <f>'January-2020'!C64</f>
        <v>15622036</v>
      </c>
      <c r="E26" s="15">
        <f t="shared" si="1"/>
        <v>1.4503364341789046E-2</v>
      </c>
      <c r="F26">
        <v>39</v>
      </c>
    </row>
    <row r="27" spans="1:6" x14ac:dyDescent="0.25">
      <c r="A27" s="13">
        <v>43862</v>
      </c>
      <c r="B27" s="14">
        <f>'February-2020'!B64</f>
        <v>74443888</v>
      </c>
      <c r="C27" s="15">
        <f t="shared" si="0"/>
        <v>-3.8626806769462025E-3</v>
      </c>
      <c r="D27" s="14">
        <f>'February-2020'!C64</f>
        <v>15542456</v>
      </c>
      <c r="E27" s="15">
        <f t="shared" si="1"/>
        <v>-5.0940863278000383E-3</v>
      </c>
      <c r="F27">
        <v>39</v>
      </c>
    </row>
    <row r="28" spans="1:6" x14ac:dyDescent="0.25">
      <c r="A28" s="13">
        <v>43891</v>
      </c>
      <c r="B28" s="14">
        <f>'March-2020'!B64</f>
        <v>74275953</v>
      </c>
      <c r="C28" s="15">
        <f t="shared" si="0"/>
        <v>-2.2558601452949368E-3</v>
      </c>
      <c r="D28" s="14">
        <f>'March-2020'!C64</f>
        <v>15545838</v>
      </c>
      <c r="E28" s="15">
        <f t="shared" si="1"/>
        <v>2.1759752770089875E-4</v>
      </c>
      <c r="F28">
        <v>39</v>
      </c>
    </row>
    <row r="29" spans="1:6" x14ac:dyDescent="0.25">
      <c r="A29" s="13">
        <v>43922</v>
      </c>
      <c r="B29" s="14">
        <f>'April-2020'!B64</f>
        <v>76114580</v>
      </c>
      <c r="C29" s="15">
        <f t="shared" si="0"/>
        <v>2.4754000800232077E-2</v>
      </c>
      <c r="D29" s="14">
        <f>'April-2020'!C64</f>
        <v>16122919</v>
      </c>
      <c r="E29" s="15">
        <f t="shared" si="1"/>
        <v>3.7121253933046258E-2</v>
      </c>
      <c r="F29">
        <v>39</v>
      </c>
    </row>
    <row r="30" spans="1:6" x14ac:dyDescent="0.25">
      <c r="A30" s="13">
        <v>43952</v>
      </c>
      <c r="B30" s="14">
        <f>'May-2020'!B64</f>
        <v>77169947</v>
      </c>
      <c r="C30" s="15">
        <f t="shared" si="0"/>
        <v>1.3865503823314798E-2</v>
      </c>
      <c r="D30" s="14">
        <f>'May-2020'!C64</f>
        <v>16440132</v>
      </c>
      <c r="E30" s="15">
        <f t="shared" si="1"/>
        <v>1.9674663130168923E-2</v>
      </c>
      <c r="F30">
        <v>39</v>
      </c>
    </row>
    <row r="31" spans="1:6" x14ac:dyDescent="0.25">
      <c r="A31" s="13">
        <v>43983</v>
      </c>
      <c r="B31" s="14">
        <f>'June-2020'!B64</f>
        <v>78055480</v>
      </c>
      <c r="C31" s="15">
        <f t="shared" si="0"/>
        <v>1.1475101829472553E-2</v>
      </c>
      <c r="D31" s="14">
        <f>'June-2020'!C64</f>
        <v>16755755</v>
      </c>
      <c r="E31" s="15">
        <f t="shared" si="1"/>
        <v>1.919832517159838E-2</v>
      </c>
      <c r="F31">
        <v>39</v>
      </c>
    </row>
    <row r="32" spans="1:6" x14ac:dyDescent="0.25">
      <c r="A32" s="13">
        <v>44013</v>
      </c>
      <c r="B32" s="14">
        <f>'July-2020'!B64</f>
        <v>79309251</v>
      </c>
      <c r="C32" s="15">
        <f t="shared" si="0"/>
        <v>1.6062562167319962E-2</v>
      </c>
      <c r="D32" s="14">
        <f>'July-2020'!C64</f>
        <v>17166056</v>
      </c>
      <c r="E32" s="15">
        <f t="shared" si="1"/>
        <v>2.4487168736950379E-2</v>
      </c>
      <c r="F32">
        <v>39</v>
      </c>
    </row>
    <row r="33" spans="1:6" x14ac:dyDescent="0.25">
      <c r="A33" s="13">
        <v>44044</v>
      </c>
      <c r="B33" s="14">
        <f>'August-2020'!B64</f>
        <v>80202982</v>
      </c>
      <c r="C33" s="15">
        <f t="shared" si="0"/>
        <v>1.1268937592160591E-2</v>
      </c>
      <c r="D33" s="14">
        <f>'August-2020'!C64</f>
        <v>17501260</v>
      </c>
      <c r="E33" s="15">
        <f t="shared" si="1"/>
        <v>1.9527141237334889E-2</v>
      </c>
      <c r="F33">
        <v>39</v>
      </c>
    </row>
    <row r="34" spans="1:6" x14ac:dyDescent="0.25">
      <c r="A34" s="13">
        <v>44075</v>
      </c>
      <c r="B34" s="14">
        <f>'September-2020'!B64</f>
        <v>80938780</v>
      </c>
      <c r="C34" s="15">
        <f t="shared" si="0"/>
        <v>9.1741975379419187E-3</v>
      </c>
      <c r="D34" s="14">
        <f>'September-2020'!C64</f>
        <v>17740750</v>
      </c>
      <c r="E34" s="15">
        <f t="shared" si="1"/>
        <v>1.3684157597795815E-2</v>
      </c>
      <c r="F34">
        <v>39</v>
      </c>
    </row>
    <row r="35" spans="1:6" x14ac:dyDescent="0.25">
      <c r="A35" s="13">
        <v>44105</v>
      </c>
      <c r="B35" s="14">
        <f>'October-2020'!B64</f>
        <v>83848958</v>
      </c>
      <c r="C35" s="15">
        <f t="shared" si="0"/>
        <v>3.595529856022045E-2</v>
      </c>
      <c r="D35" s="14">
        <f>'October-2020'!C64</f>
        <v>18649336</v>
      </c>
      <c r="E35" s="15">
        <f t="shared" si="1"/>
        <v>5.1214632977748968E-2</v>
      </c>
      <c r="F35">
        <v>40</v>
      </c>
    </row>
    <row r="36" spans="1:6" x14ac:dyDescent="0.25">
      <c r="A36" s="13">
        <v>44136</v>
      </c>
      <c r="B36" s="14">
        <f>'November-2020'!B64</f>
        <v>85021129</v>
      </c>
      <c r="C36" s="15">
        <f t="shared" si="0"/>
        <v>1.3979553568214885E-2</v>
      </c>
      <c r="D36" s="14">
        <f>'November-2020'!C64</f>
        <v>18365572</v>
      </c>
      <c r="E36" s="15">
        <f t="shared" si="1"/>
        <v>-1.5215769612387272E-2</v>
      </c>
      <c r="F36">
        <v>40</v>
      </c>
    </row>
    <row r="37" spans="1:6" x14ac:dyDescent="0.25">
      <c r="A37" s="13">
        <v>44166</v>
      </c>
      <c r="B37" s="14">
        <f>'December-2020'!B64</f>
        <v>83327207</v>
      </c>
      <c r="C37" s="15">
        <f t="shared" si="0"/>
        <v>-1.9923541593996005E-2</v>
      </c>
      <c r="D37" s="14">
        <f>'December-2020'!C64</f>
        <v>18740932</v>
      </c>
      <c r="E37" s="15">
        <f t="shared" si="1"/>
        <v>2.0438241727510582E-2</v>
      </c>
      <c r="F37">
        <v>40</v>
      </c>
    </row>
    <row r="38" spans="1:6" x14ac:dyDescent="0.25">
      <c r="A38" s="13">
        <v>44197</v>
      </c>
      <c r="B38" s="14">
        <f>'January-2021'!B64</f>
        <v>84904129</v>
      </c>
      <c r="C38" s="15">
        <f t="shared" si="0"/>
        <v>1.8924455250252176E-2</v>
      </c>
      <c r="D38" s="14">
        <f>'January-2021'!C64</f>
        <v>19346158</v>
      </c>
      <c r="E38" s="15">
        <f t="shared" si="1"/>
        <v>3.229433840323416E-2</v>
      </c>
      <c r="F38">
        <v>40</v>
      </c>
    </row>
    <row r="39" spans="1:6" x14ac:dyDescent="0.25">
      <c r="A39" s="13">
        <v>44228</v>
      </c>
      <c r="B39" s="14">
        <f>'February-2021'!B64</f>
        <v>85397214</v>
      </c>
      <c r="C39" s="15">
        <f t="shared" si="0"/>
        <v>5.8075503018233656E-3</v>
      </c>
      <c r="D39" s="14">
        <f>'February-2021'!C64</f>
        <v>19570667</v>
      </c>
      <c r="E39" s="15">
        <f t="shared" si="1"/>
        <v>1.1604836474508272E-2</v>
      </c>
      <c r="F39">
        <v>40</v>
      </c>
    </row>
    <row r="40" spans="1:6" x14ac:dyDescent="0.25">
      <c r="A40" s="13">
        <v>44256</v>
      </c>
      <c r="B40" s="14">
        <f>'March-2021'!B64</f>
        <v>85910366</v>
      </c>
      <c r="C40" s="15">
        <f t="shared" si="0"/>
        <v>6.009001651974267E-3</v>
      </c>
      <c r="D40" s="14">
        <f>'March-2021'!C64</f>
        <v>19782431</v>
      </c>
      <c r="E40" s="15">
        <f t="shared" si="1"/>
        <v>1.0820479445079721E-2</v>
      </c>
      <c r="F40">
        <v>40</v>
      </c>
    </row>
    <row r="41" spans="1:6" x14ac:dyDescent="0.25">
      <c r="A41" s="13">
        <v>44287</v>
      </c>
      <c r="B41" s="14">
        <f>'April-2021'!B64</f>
        <v>86730928</v>
      </c>
      <c r="C41" s="15">
        <f t="shared" si="0"/>
        <v>9.551373579295426E-3</v>
      </c>
      <c r="D41" s="14">
        <f>'April-2021'!C64</f>
        <v>20038831</v>
      </c>
      <c r="E41" s="15">
        <f t="shared" si="1"/>
        <v>1.2960995541953362E-2</v>
      </c>
      <c r="F41">
        <v>40</v>
      </c>
    </row>
    <row r="42" spans="1:6" x14ac:dyDescent="0.25">
      <c r="A42" s="13">
        <v>44317</v>
      </c>
      <c r="B42" s="14">
        <f>'May-2021'!B64</f>
        <v>87232698</v>
      </c>
      <c r="C42" s="15">
        <f t="shared" si="0"/>
        <v>5.7853641321582543E-3</v>
      </c>
      <c r="D42" s="14">
        <f>'May-2021'!C64</f>
        <v>20210139</v>
      </c>
      <c r="E42" s="15">
        <f t="shared" si="1"/>
        <v>8.5488020733345167E-3</v>
      </c>
      <c r="F42">
        <v>40</v>
      </c>
    </row>
    <row r="43" spans="1:6" x14ac:dyDescent="0.25">
      <c r="A43" s="13">
        <v>44348</v>
      </c>
      <c r="B43" s="14">
        <f>'June-2021'!B64</f>
        <v>87595760</v>
      </c>
      <c r="C43" s="15">
        <f t="shared" si="0"/>
        <v>4.161994393432609E-3</v>
      </c>
      <c r="D43" s="14">
        <f>'June-2021'!C64</f>
        <v>20354443</v>
      </c>
      <c r="E43" s="15">
        <f t="shared" si="1"/>
        <v>7.1401785014937307E-3</v>
      </c>
      <c r="F43">
        <v>40</v>
      </c>
    </row>
    <row r="44" spans="1:6" x14ac:dyDescent="0.25">
      <c r="A44" s="13">
        <v>44378</v>
      </c>
      <c r="B44" s="14">
        <f>'July-2021'!B64</f>
        <v>88407727</v>
      </c>
      <c r="C44" s="15">
        <f t="shared" si="0"/>
        <v>9.2694783400475086E-3</v>
      </c>
      <c r="D44" s="14">
        <f>'July-2021'!C64</f>
        <v>20652351</v>
      </c>
      <c r="E44" s="15">
        <f t="shared" si="1"/>
        <v>1.4636018288488661E-2</v>
      </c>
      <c r="F44">
        <v>41</v>
      </c>
    </row>
    <row r="45" spans="1:6" x14ac:dyDescent="0.25">
      <c r="A45" s="13">
        <v>44409</v>
      </c>
      <c r="B45" s="14">
        <f>'August-2021'!B64</f>
        <v>89007226</v>
      </c>
      <c r="C45" s="15">
        <f t="shared" si="0"/>
        <v>6.7810701659595882E-3</v>
      </c>
      <c r="D45" s="14">
        <f>'August-2021'!C64</f>
        <v>20868398</v>
      </c>
      <c r="E45" s="15">
        <f t="shared" si="1"/>
        <v>1.0461133456428278E-2</v>
      </c>
      <c r="F45">
        <v>41</v>
      </c>
    </row>
    <row r="46" spans="1:6" x14ac:dyDescent="0.25">
      <c r="A46" s="13">
        <v>44440</v>
      </c>
      <c r="B46" s="14">
        <f>'September-2021'!B64</f>
        <v>89384641</v>
      </c>
      <c r="C46" s="15">
        <f t="shared" si="0"/>
        <v>4.2402737054180297E-3</v>
      </c>
      <c r="D46" s="14">
        <f>'September-2021'!C64</f>
        <v>21033779</v>
      </c>
      <c r="E46" s="15">
        <f t="shared" si="1"/>
        <v>7.924949485820617E-3</v>
      </c>
      <c r="F46">
        <v>41</v>
      </c>
    </row>
    <row r="47" spans="1:6" x14ac:dyDescent="0.25">
      <c r="A47" s="13">
        <v>44470</v>
      </c>
      <c r="B47" s="14">
        <f>'October-2021'!B64</f>
        <v>90288880</v>
      </c>
      <c r="C47" s="15">
        <f t="shared" si="0"/>
        <v>1.01162681852691E-2</v>
      </c>
      <c r="D47" s="14">
        <f>'October-2021'!C64</f>
        <v>21361605</v>
      </c>
      <c r="E47" s="15">
        <f t="shared" si="1"/>
        <v>1.5585691948175362E-2</v>
      </c>
      <c r="F47">
        <v>42</v>
      </c>
    </row>
    <row r="48" spans="1:6" x14ac:dyDescent="0.25">
      <c r="A48" s="13">
        <v>44501</v>
      </c>
      <c r="B48" s="14">
        <f>'November-2021'!B64</f>
        <v>90916915</v>
      </c>
      <c r="C48" s="15">
        <f t="shared" si="0"/>
        <v>6.9558399661176435E-3</v>
      </c>
      <c r="D48" s="14">
        <f>'November-2021'!C64</f>
        <v>21561580</v>
      </c>
      <c r="E48" s="15">
        <f t="shared" si="1"/>
        <v>9.3614220467048235E-3</v>
      </c>
      <c r="F48">
        <v>42</v>
      </c>
    </row>
    <row r="49" spans="1:6" x14ac:dyDescent="0.25">
      <c r="A49" s="13">
        <v>44531</v>
      </c>
      <c r="B49" s="14">
        <f>'December-2021'!B64</f>
        <v>91152624</v>
      </c>
      <c r="C49" s="15">
        <f t="shared" si="0"/>
        <v>2.5925758699577523E-3</v>
      </c>
      <c r="D49" s="14">
        <f>'December-2021'!C64</f>
        <v>21763490</v>
      </c>
      <c r="E49" s="15">
        <f t="shared" si="1"/>
        <v>9.364341574226007E-3</v>
      </c>
      <c r="F49">
        <v>42</v>
      </c>
    </row>
    <row r="50" spans="1:6" x14ac:dyDescent="0.25">
      <c r="A50" s="13">
        <v>44562</v>
      </c>
      <c r="B50" s="14">
        <f>'January-2022'!B64</f>
        <v>92054533</v>
      </c>
      <c r="C50" s="15">
        <f t="shared" si="0"/>
        <v>9.8944929989069758E-3</v>
      </c>
      <c r="D50" s="14">
        <f>'January-2022'!C64</f>
        <v>22009309</v>
      </c>
      <c r="E50" s="15">
        <f t="shared" si="1"/>
        <v>1.1295017481111716E-2</v>
      </c>
      <c r="F50">
        <v>42</v>
      </c>
    </row>
    <row r="51" spans="1:6" x14ac:dyDescent="0.25">
      <c r="A51" s="13">
        <v>44593</v>
      </c>
      <c r="B51" s="14">
        <f>'February-2022'!B64</f>
        <v>92416336</v>
      </c>
      <c r="C51" s="15">
        <f t="shared" si="0"/>
        <v>3.9303116121397301E-3</v>
      </c>
      <c r="D51" s="14">
        <f>'February-2022'!C64</f>
        <v>22150881</v>
      </c>
      <c r="E51" s="15">
        <f t="shared" si="1"/>
        <v>6.4323691398035258E-3</v>
      </c>
      <c r="F51">
        <v>42</v>
      </c>
    </row>
    <row r="52" spans="1:6" x14ac:dyDescent="0.25">
      <c r="A52" s="13">
        <v>44621</v>
      </c>
      <c r="B52" s="14">
        <f>'March-2022'!B64</f>
        <v>92843565</v>
      </c>
      <c r="C52" s="15">
        <f t="shared" si="0"/>
        <v>4.6228731682242848E-3</v>
      </c>
      <c r="D52" s="14">
        <f>'March-2022'!C64</f>
        <v>22299155</v>
      </c>
      <c r="E52" s="15">
        <f t="shared" si="1"/>
        <v>6.6938195370197691E-3</v>
      </c>
      <c r="F52">
        <v>42</v>
      </c>
    </row>
    <row r="53" spans="1:6" x14ac:dyDescent="0.25">
      <c r="A53" s="13">
        <v>44652</v>
      </c>
      <c r="B53" s="14">
        <f>'April-2022'!B64</f>
        <v>104075749</v>
      </c>
      <c r="C53" s="15">
        <f t="shared" si="0"/>
        <v>0.12097967155828193</v>
      </c>
      <c r="D53" s="14">
        <f>'April-2022'!C64</f>
        <v>33144607</v>
      </c>
      <c r="E53" s="15">
        <f t="shared" si="1"/>
        <v>0.48636156840920652</v>
      </c>
      <c r="F53">
        <v>42</v>
      </c>
    </row>
    <row r="54" spans="1:6" x14ac:dyDescent="0.25">
      <c r="A54" s="13">
        <v>44682</v>
      </c>
      <c r="B54" s="14">
        <f>'May-2022'!B64</f>
        <v>94051660</v>
      </c>
      <c r="C54" s="15">
        <f t="shared" si="0"/>
        <v>-9.6315319335342958E-2</v>
      </c>
      <c r="D54" s="14">
        <f>'May-2022'!C64</f>
        <v>22730436</v>
      </c>
      <c r="E54" s="15">
        <f t="shared" si="1"/>
        <v>-0.3142040875609115</v>
      </c>
      <c r="F54">
        <v>42</v>
      </c>
    </row>
    <row r="55" spans="1:6" x14ac:dyDescent="0.25">
      <c r="A55" s="13">
        <v>44713</v>
      </c>
      <c r="B55" s="14">
        <f>'June-2022'!B64</f>
        <v>94517722</v>
      </c>
      <c r="C55" s="15">
        <f t="shared" si="0"/>
        <v>4.9553830309853114E-3</v>
      </c>
      <c r="D55" s="14">
        <f>'June-2022'!C64</f>
        <v>22894107</v>
      </c>
      <c r="E55" s="15">
        <f t="shared" si="1"/>
        <v>7.200521802573431E-3</v>
      </c>
      <c r="F55">
        <v>42</v>
      </c>
    </row>
    <row r="56" spans="1:6" x14ac:dyDescent="0.25">
      <c r="A56" s="13">
        <v>44743</v>
      </c>
      <c r="B56" s="14">
        <f>'July-2022'!B64</f>
        <v>95111777</v>
      </c>
      <c r="C56" s="15">
        <f t="shared" si="0"/>
        <v>6.2851176205875976E-3</v>
      </c>
      <c r="D56" s="14">
        <f>'July-2022'!C64</f>
        <v>23048691</v>
      </c>
      <c r="E56" s="15">
        <f t="shared" si="1"/>
        <v>6.752130581026812E-3</v>
      </c>
      <c r="F56">
        <v>42</v>
      </c>
    </row>
    <row r="57" spans="1:6" x14ac:dyDescent="0.25">
      <c r="A57" s="13">
        <v>44774</v>
      </c>
      <c r="B57" s="14">
        <f>'August-2022'!B64</f>
        <v>95824368</v>
      </c>
      <c r="C57" s="15">
        <f t="shared" si="0"/>
        <v>7.492142639706963E-3</v>
      </c>
      <c r="D57" s="14">
        <f>'August-2022'!C64</f>
        <v>23274555</v>
      </c>
      <c r="E57" s="15">
        <f t="shared" si="1"/>
        <v>9.7994285228605819E-3</v>
      </c>
      <c r="F57">
        <v>42</v>
      </c>
    </row>
    <row r="58" spans="1:6" x14ac:dyDescent="0.25">
      <c r="A58" s="13">
        <v>44805</v>
      </c>
      <c r="B58" s="14">
        <f>'September-2022'!B64</f>
        <v>96242503</v>
      </c>
      <c r="C58" s="15">
        <f t="shared" si="0"/>
        <v>4.3635560424463218E-3</v>
      </c>
      <c r="D58" s="14">
        <f>'September-2022'!C64</f>
        <v>23433617</v>
      </c>
      <c r="E58" s="15">
        <f t="shared" si="1"/>
        <v>6.834158590787235E-3</v>
      </c>
      <c r="F58">
        <v>42</v>
      </c>
    </row>
    <row r="59" spans="1:6" x14ac:dyDescent="0.25">
      <c r="A59" s="13">
        <v>44835</v>
      </c>
      <c r="B59" s="14">
        <f>'October-2022'!B64</f>
        <v>96904625</v>
      </c>
      <c r="C59" s="15">
        <f t="shared" si="0"/>
        <v>6.8797254784614239E-3</v>
      </c>
      <c r="D59" s="14">
        <f>'October-2022'!C64</f>
        <v>23680546</v>
      </c>
      <c r="E59" s="15">
        <f t="shared" si="1"/>
        <v>1.0537383110767748E-2</v>
      </c>
      <c r="F59">
        <v>42</v>
      </c>
    </row>
    <row r="60" spans="1:6" x14ac:dyDescent="0.25">
      <c r="A60" s="13">
        <v>44866</v>
      </c>
      <c r="B60" s="14">
        <f>'November-2022'!B64</f>
        <v>97433463</v>
      </c>
      <c r="C60" s="15">
        <f t="shared" si="0"/>
        <v>5.4573040244467177E-3</v>
      </c>
      <c r="D60" s="14">
        <f>'November-2022'!C64</f>
        <v>23868305</v>
      </c>
      <c r="E60" s="15">
        <f t="shared" si="1"/>
        <v>7.9288290058852524E-3</v>
      </c>
      <c r="F60">
        <v>42</v>
      </c>
    </row>
    <row r="61" spans="1:6" x14ac:dyDescent="0.25">
      <c r="A61" s="13">
        <v>44896</v>
      </c>
      <c r="B61" s="14">
        <f>'December-2022'!B64</f>
        <v>97814451</v>
      </c>
      <c r="C61" s="15">
        <f t="shared" si="0"/>
        <v>3.9102376972888668E-3</v>
      </c>
      <c r="D61" s="14">
        <f>'December-2022'!C64</f>
        <v>24052258</v>
      </c>
      <c r="E61" s="15">
        <f t="shared" si="1"/>
        <v>7.7069988840849819E-3</v>
      </c>
      <c r="F61">
        <v>42</v>
      </c>
    </row>
    <row r="62" spans="1:6" x14ac:dyDescent="0.25">
      <c r="A62" s="13">
        <v>44927</v>
      </c>
      <c r="B62" s="14">
        <f>'January-2023'!B64</f>
        <v>98743626</v>
      </c>
      <c r="C62" s="15">
        <f t="shared" si="0"/>
        <v>9.4993632382601619E-3</v>
      </c>
      <c r="D62" s="14">
        <f>'January-2023'!C64</f>
        <v>24374903</v>
      </c>
      <c r="E62" s="15">
        <f t="shared" si="1"/>
        <v>1.3414333074258558E-2</v>
      </c>
      <c r="F62">
        <v>42</v>
      </c>
    </row>
    <row r="63" spans="1:6" x14ac:dyDescent="0.25">
      <c r="A63" s="13">
        <v>44958</v>
      </c>
      <c r="B63" s="14">
        <f>'February-2023'!B64</f>
        <v>99047187</v>
      </c>
      <c r="C63" s="15">
        <f t="shared" si="0"/>
        <v>3.0742338751060245E-3</v>
      </c>
      <c r="D63" s="14">
        <f>'February-2023'!C64</f>
        <v>24514568</v>
      </c>
      <c r="E63" s="15">
        <f t="shared" si="1"/>
        <v>5.7298689557862036E-3</v>
      </c>
      <c r="F63">
        <v>42</v>
      </c>
    </row>
    <row r="64" spans="1:6" x14ac:dyDescent="0.25">
      <c r="A64" s="13">
        <v>44986</v>
      </c>
      <c r="B64" s="14">
        <f>'March-2023'!B64</f>
        <v>99895730</v>
      </c>
      <c r="C64" s="15">
        <f t="shared" si="0"/>
        <v>8.5670580427488572E-3</v>
      </c>
      <c r="D64" s="14">
        <f>'March-2023'!C64</f>
        <v>24814965</v>
      </c>
      <c r="E64" s="15">
        <f t="shared" si="1"/>
        <v>1.2253815771911624E-2</v>
      </c>
      <c r="F64">
        <v>42</v>
      </c>
    </row>
    <row r="65" spans="1:6" x14ac:dyDescent="0.25">
      <c r="A65" s="13">
        <v>45017</v>
      </c>
      <c r="B65" s="14">
        <f>'April-2023'!B64</f>
        <v>100100536</v>
      </c>
      <c r="C65" s="15">
        <f t="shared" si="0"/>
        <v>2.0501977411847335E-3</v>
      </c>
      <c r="D65" s="14">
        <f>'April-2023'!C64</f>
        <v>24740263</v>
      </c>
      <c r="E65" s="15">
        <f t="shared" si="1"/>
        <v>-3.0103608850546434E-3</v>
      </c>
      <c r="F65">
        <v>42</v>
      </c>
    </row>
    <row r="66" spans="1:6" x14ac:dyDescent="0.25">
      <c r="A66" s="13">
        <v>45047</v>
      </c>
      <c r="B66" s="14">
        <f>'May-2023'!B64</f>
        <v>99734767</v>
      </c>
      <c r="C66" s="15">
        <f t="shared" si="0"/>
        <v>-3.6540163980740325E-3</v>
      </c>
      <c r="D66" s="14">
        <f>'May-2023'!C64</f>
        <v>24769169</v>
      </c>
      <c r="E66" s="15">
        <f t="shared" si="1"/>
        <v>1.1683788486807922E-3</v>
      </c>
      <c r="F66">
        <v>42</v>
      </c>
    </row>
    <row r="67" spans="1:6" x14ac:dyDescent="0.25">
      <c r="A67" s="13">
        <v>45078</v>
      </c>
      <c r="B67" s="14">
        <f>'June-2023'!B64</f>
        <v>98529848</v>
      </c>
      <c r="C67" s="15">
        <f t="shared" si="0"/>
        <v>-1.2081233417831115E-2</v>
      </c>
      <c r="D67" s="14">
        <f>'June-2023'!C64</f>
        <v>24526226</v>
      </c>
      <c r="E67" s="15">
        <f t="shared" si="1"/>
        <v>-9.8082822237597067E-3</v>
      </c>
      <c r="F67">
        <v>42</v>
      </c>
    </row>
    <row r="68" spans="1:6" x14ac:dyDescent="0.25">
      <c r="A68" s="13">
        <v>45108</v>
      </c>
      <c r="B68" s="14">
        <f>'July-2023'!B64</f>
        <v>97857412</v>
      </c>
      <c r="C68" s="15">
        <f t="shared" ref="C68:C82" si="2">(B68-B67)/B67</f>
        <v>-6.8246933660143271E-3</v>
      </c>
      <c r="D68" s="14">
        <f>'July-2023'!C64</f>
        <v>24408927</v>
      </c>
      <c r="E68" s="15">
        <f t="shared" ref="E68:E82" si="3">(D68-D67)/D67</f>
        <v>-4.7825947620314677E-3</v>
      </c>
      <c r="F68">
        <v>43</v>
      </c>
    </row>
    <row r="69" spans="1:6" x14ac:dyDescent="0.25">
      <c r="A69" s="13">
        <v>45139</v>
      </c>
      <c r="B69" s="14">
        <f>'August-2023'!B64</f>
        <v>96623612</v>
      </c>
      <c r="C69" s="15">
        <f t="shared" si="2"/>
        <v>-1.260814050549385E-2</v>
      </c>
      <c r="D69" s="14">
        <f>'August-2023'!C64</f>
        <v>24015508</v>
      </c>
      <c r="E69" s="15">
        <f t="shared" si="3"/>
        <v>-1.6117832627382596E-2</v>
      </c>
      <c r="F69">
        <v>43</v>
      </c>
    </row>
    <row r="70" spans="1:6" x14ac:dyDescent="0.25">
      <c r="A70" s="13">
        <v>45170</v>
      </c>
      <c r="B70" s="14">
        <f>'September-2023'!B64</f>
        <v>95335850</v>
      </c>
      <c r="C70" s="15">
        <f t="shared" si="2"/>
        <v>-1.3327611888489533E-2</v>
      </c>
      <c r="D70" s="14">
        <f>'September-2023'!C64</f>
        <v>23634543</v>
      </c>
      <c r="E70" s="15">
        <f t="shared" si="3"/>
        <v>-1.5863291336581344E-2</v>
      </c>
      <c r="F70">
        <v>43</v>
      </c>
    </row>
    <row r="71" spans="1:6" x14ac:dyDescent="0.25">
      <c r="A71" s="13">
        <v>45200</v>
      </c>
      <c r="B71" s="14">
        <f>'October-2023'!B64</f>
        <v>93799620</v>
      </c>
      <c r="C71" s="15">
        <f t="shared" si="2"/>
        <v>-1.6113875315529259E-2</v>
      </c>
      <c r="D71" s="14">
        <f>'October-2023'!C64</f>
        <v>23296105</v>
      </c>
      <c r="E71" s="15">
        <f t="shared" si="3"/>
        <v>-1.4319633766559396E-2</v>
      </c>
      <c r="F71">
        <v>43</v>
      </c>
    </row>
    <row r="72" spans="1:6" x14ac:dyDescent="0.25">
      <c r="A72" s="13">
        <v>45231</v>
      </c>
      <c r="B72" s="14">
        <f>'November-2023'!B64</f>
        <v>92066205</v>
      </c>
      <c r="C72" s="15">
        <f t="shared" si="2"/>
        <v>-1.8479978916758937E-2</v>
      </c>
      <c r="D72" s="14">
        <f>'November-2023'!C64</f>
        <v>22870835</v>
      </c>
      <c r="E72" s="15">
        <f t="shared" si="3"/>
        <v>-1.8254982968182877E-2</v>
      </c>
      <c r="F72">
        <v>43</v>
      </c>
    </row>
    <row r="73" spans="1:6" x14ac:dyDescent="0.25">
      <c r="A73" s="13">
        <v>45261</v>
      </c>
      <c r="B73" s="14">
        <f>'December-2023'!B64</f>
        <v>90517353</v>
      </c>
      <c r="C73" s="15">
        <f t="shared" si="2"/>
        <v>-1.6823241492358677E-2</v>
      </c>
      <c r="D73" s="14">
        <f>'December-2023'!C64</f>
        <v>22762911</v>
      </c>
      <c r="E73" s="15">
        <f t="shared" si="3"/>
        <v>-4.7188482624267985E-3</v>
      </c>
      <c r="F73">
        <v>44</v>
      </c>
    </row>
    <row r="74" spans="1:6" x14ac:dyDescent="0.25">
      <c r="A74" s="13">
        <v>45292</v>
      </c>
      <c r="B74" s="14">
        <f>'January-2024'!B64</f>
        <v>89975996</v>
      </c>
      <c r="C74" s="15">
        <f t="shared" si="2"/>
        <v>-5.9806985297062324E-3</v>
      </c>
      <c r="D74" s="14">
        <f>'January-2024'!C64</f>
        <v>22651839</v>
      </c>
      <c r="E74" s="15">
        <f t="shared" si="3"/>
        <v>-4.8795165082356996E-3</v>
      </c>
      <c r="F74">
        <v>44</v>
      </c>
    </row>
    <row r="75" spans="1:6" x14ac:dyDescent="0.25">
      <c r="A75" s="13">
        <v>45323</v>
      </c>
      <c r="B75" s="14">
        <f>'February-2024'!B64</f>
        <v>89239469</v>
      </c>
      <c r="C75" s="15">
        <f t="shared" si="2"/>
        <v>-8.185816581569156E-3</v>
      </c>
      <c r="D75" s="14">
        <f>'February-2024'!C64</f>
        <v>22379889</v>
      </c>
      <c r="E75" s="15">
        <f t="shared" si="3"/>
        <v>-1.200564775336784E-2</v>
      </c>
      <c r="F75">
        <v>44</v>
      </c>
    </row>
    <row r="76" spans="1:6" x14ac:dyDescent="0.25">
      <c r="A76" s="13">
        <v>45352</v>
      </c>
      <c r="B76" s="14">
        <f>'March-2024'!B64</f>
        <v>88428995</v>
      </c>
      <c r="C76" s="15">
        <f t="shared" si="2"/>
        <v>-9.0820128031017314E-3</v>
      </c>
      <c r="D76" s="14">
        <f>'March-2024'!C64</f>
        <v>22045329</v>
      </c>
      <c r="E76" s="15">
        <f t="shared" si="3"/>
        <v>-1.4949135806705744E-2</v>
      </c>
      <c r="F76">
        <v>44</v>
      </c>
    </row>
    <row r="77" spans="1:6" x14ac:dyDescent="0.25">
      <c r="A77" s="13">
        <v>45383</v>
      </c>
      <c r="B77" s="14">
        <f>'April-2024'!B64</f>
        <v>87303815</v>
      </c>
      <c r="C77" s="15">
        <f t="shared" si="2"/>
        <v>-1.272410706465679E-2</v>
      </c>
      <c r="D77" s="14">
        <f>'April-2024'!C64</f>
        <v>21789990</v>
      </c>
      <c r="E77" s="15">
        <f t="shared" si="3"/>
        <v>-1.1582453589148068E-2</v>
      </c>
      <c r="F77">
        <v>44</v>
      </c>
    </row>
    <row r="78" spans="1:6" x14ac:dyDescent="0.25">
      <c r="A78" s="13">
        <v>45413</v>
      </c>
      <c r="B78" s="14">
        <f>'May-2024'!B64</f>
        <v>86344918</v>
      </c>
      <c r="C78" s="15">
        <f t="shared" si="2"/>
        <v>-1.0983449005063525E-2</v>
      </c>
      <c r="D78" s="14">
        <f>'May-2024'!C64</f>
        <v>21436078</v>
      </c>
      <c r="E78" s="15">
        <f t="shared" si="3"/>
        <v>-1.6241953300575172E-2</v>
      </c>
      <c r="F78">
        <v>44</v>
      </c>
    </row>
    <row r="79" spans="1:6" x14ac:dyDescent="0.25">
      <c r="A79" s="13">
        <v>45444</v>
      </c>
      <c r="B79" s="14">
        <f>'June-2024'!B64</f>
        <v>85303813</v>
      </c>
      <c r="C79" s="15">
        <f t="shared" si="2"/>
        <v>-1.205751333274762E-2</v>
      </c>
      <c r="D79" s="14">
        <f>'June-2024'!C64</f>
        <v>21061045</v>
      </c>
      <c r="E79" s="15">
        <f t="shared" si="3"/>
        <v>-1.749541124080627E-2</v>
      </c>
      <c r="F79">
        <v>44</v>
      </c>
    </row>
    <row r="80" spans="1:6" x14ac:dyDescent="0.25">
      <c r="A80" s="13">
        <v>45474</v>
      </c>
      <c r="B80" s="14">
        <f>'July-2024'!B64</f>
        <v>85289974</v>
      </c>
      <c r="C80" s="15">
        <f t="shared" si="2"/>
        <v>-1.6223190398300251E-4</v>
      </c>
      <c r="D80" s="14">
        <f>'July-2024'!C64</f>
        <v>20941996</v>
      </c>
      <c r="E80" s="15">
        <f t="shared" si="3"/>
        <v>-5.6525685216474303E-3</v>
      </c>
      <c r="F80">
        <v>44</v>
      </c>
    </row>
    <row r="81" spans="1:6" x14ac:dyDescent="0.25">
      <c r="A81" s="13">
        <v>45505</v>
      </c>
      <c r="B81" s="14">
        <f>'August-2024'!B64</f>
        <v>85093798</v>
      </c>
      <c r="C81" s="15">
        <f t="shared" si="2"/>
        <v>-2.3001062235052387E-3</v>
      </c>
      <c r="D81" s="14">
        <f>'August-2024'!C64</f>
        <v>20893077</v>
      </c>
      <c r="E81" s="15">
        <f t="shared" si="3"/>
        <v>-2.335928246763107E-3</v>
      </c>
      <c r="F81">
        <v>44</v>
      </c>
    </row>
    <row r="82" spans="1:6" x14ac:dyDescent="0.25">
      <c r="A82" s="13">
        <v>45536</v>
      </c>
      <c r="B82" s="14">
        <f>'September-2024'!B64</f>
        <v>84811338</v>
      </c>
      <c r="C82" s="15">
        <f t="shared" si="2"/>
        <v>-3.319395850682326E-3</v>
      </c>
      <c r="D82" s="14">
        <f>'September-2024'!C64</f>
        <v>20795660</v>
      </c>
      <c r="E82" s="15">
        <f t="shared" si="3"/>
        <v>-4.6626449517225251E-3</v>
      </c>
      <c r="F82">
        <v>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1"/>
  <sheetViews>
    <sheetView workbookViewId="0">
      <pane ySplit="7" topLeftCell="A36" activePane="bottomLeft" state="frozenSplit"/>
      <selection pane="bottomLeft" activeCell="A7" sqref="A7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72</v>
      </c>
      <c r="B2" s="2"/>
      <c r="C2" s="2"/>
      <c r="D2" s="2"/>
      <c r="E2" s="2"/>
    </row>
    <row r="3" spans="1:5" ht="15" x14ac:dyDescent="0.25">
      <c r="A3" s="2"/>
      <c r="B3" s="2"/>
      <c r="C3" s="11" t="s">
        <v>83</v>
      </c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1020587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196284</v>
      </c>
      <c r="C9" s="6">
        <v>42966</v>
      </c>
      <c r="D9" s="6">
        <v>42938</v>
      </c>
      <c r="E9" s="6">
        <v>28</v>
      </c>
    </row>
    <row r="10" spans="1:5" ht="15" x14ac:dyDescent="0.25">
      <c r="A10" s="5" t="s">
        <v>10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1912427</v>
      </c>
      <c r="C11" s="6">
        <v>426466</v>
      </c>
      <c r="D11" s="6">
        <v>111692</v>
      </c>
      <c r="E11" s="6">
        <v>314774</v>
      </c>
    </row>
    <row r="12" spans="1:5" ht="15" x14ac:dyDescent="0.25">
      <c r="A12" s="5" t="s">
        <v>12</v>
      </c>
      <c r="B12" s="6">
        <v>920504</v>
      </c>
      <c r="C12" s="6">
        <v>294581</v>
      </c>
      <c r="D12" s="6">
        <v>294263</v>
      </c>
      <c r="E12" s="6">
        <v>318</v>
      </c>
    </row>
    <row r="13" spans="1:5" ht="15" x14ac:dyDescent="0.25">
      <c r="A13" s="5" t="s">
        <v>13</v>
      </c>
      <c r="B13" s="6">
        <v>13175429</v>
      </c>
      <c r="C13" s="6">
        <v>3847630</v>
      </c>
      <c r="D13" s="6">
        <v>3847630</v>
      </c>
      <c r="E13" s="6">
        <v>0</v>
      </c>
    </row>
    <row r="14" spans="1:5" ht="15" x14ac:dyDescent="0.25">
      <c r="A14" s="5" t="s">
        <v>14</v>
      </c>
      <c r="B14" s="6">
        <v>1303683</v>
      </c>
      <c r="C14" s="6">
        <v>410736</v>
      </c>
      <c r="D14" s="6">
        <v>408472</v>
      </c>
      <c r="E14" s="6">
        <v>2264</v>
      </c>
    </row>
    <row r="15" spans="1:5" ht="15" x14ac:dyDescent="0.25">
      <c r="A15" s="5" t="s">
        <v>15</v>
      </c>
      <c r="B15" s="6">
        <v>920198</v>
      </c>
      <c r="C15" s="6">
        <v>242204</v>
      </c>
      <c r="D15" s="6">
        <v>222150</v>
      </c>
      <c r="E15" s="6">
        <v>20054</v>
      </c>
    </row>
    <row r="16" spans="1:5" ht="15" x14ac:dyDescent="0.25">
      <c r="A16" s="5" t="s">
        <v>16</v>
      </c>
      <c r="B16" s="6">
        <v>211708</v>
      </c>
      <c r="C16" s="6">
        <v>63045</v>
      </c>
      <c r="D16" s="6">
        <v>10538</v>
      </c>
      <c r="E16" s="6">
        <v>52507</v>
      </c>
    </row>
    <row r="17" spans="1:5" ht="15" x14ac:dyDescent="0.25">
      <c r="A17" s="5" t="s">
        <v>17</v>
      </c>
      <c r="B17" s="6">
        <v>263558</v>
      </c>
      <c r="C17" s="6">
        <v>112784</v>
      </c>
      <c r="D17" s="6">
        <v>71290</v>
      </c>
      <c r="E17" s="6">
        <v>41494</v>
      </c>
    </row>
    <row r="18" spans="1:5" ht="15" x14ac:dyDescent="0.25">
      <c r="A18" s="5" t="s">
        <v>18</v>
      </c>
      <c r="B18" s="6">
        <v>3993964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1955309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35942</v>
      </c>
      <c r="C20" s="6">
        <v>3871</v>
      </c>
      <c r="D20" s="6" t="s">
        <v>8</v>
      </c>
      <c r="E20" s="6">
        <v>3871</v>
      </c>
    </row>
    <row r="21" spans="1:5" ht="15" x14ac:dyDescent="0.25">
      <c r="A21" s="5" t="s">
        <v>21</v>
      </c>
      <c r="B21" s="6">
        <v>330477</v>
      </c>
      <c r="C21" s="6">
        <v>120260</v>
      </c>
      <c r="D21" s="6">
        <v>22747</v>
      </c>
      <c r="E21" s="6">
        <v>97513</v>
      </c>
    </row>
    <row r="22" spans="1:5" ht="15" x14ac:dyDescent="0.25">
      <c r="A22" s="5" t="s">
        <v>22</v>
      </c>
      <c r="B22" s="6">
        <v>309471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2943884</v>
      </c>
      <c r="C23" s="6">
        <v>751967</v>
      </c>
      <c r="D23" s="6">
        <v>645732</v>
      </c>
      <c r="E23" s="6">
        <v>106235</v>
      </c>
    </row>
    <row r="24" spans="1:5" ht="15" x14ac:dyDescent="0.25">
      <c r="A24" s="5" t="s">
        <v>24</v>
      </c>
      <c r="B24" s="6">
        <v>1356203</v>
      </c>
      <c r="C24" s="6">
        <v>446208</v>
      </c>
      <c r="D24" s="6">
        <v>326576</v>
      </c>
      <c r="E24" s="6">
        <v>119632</v>
      </c>
    </row>
    <row r="25" spans="1:5" ht="15" x14ac:dyDescent="0.25">
      <c r="A25" s="5" t="s">
        <v>25</v>
      </c>
      <c r="B25" s="6">
        <v>594982</v>
      </c>
      <c r="C25" s="6">
        <v>157220</v>
      </c>
      <c r="D25" s="6">
        <v>144106</v>
      </c>
      <c r="E25" s="6">
        <v>13114</v>
      </c>
    </row>
    <row r="26" spans="1:5" ht="15" x14ac:dyDescent="0.25">
      <c r="A26" s="5" t="s">
        <v>26</v>
      </c>
      <c r="B26" s="6">
        <v>374385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1353473</v>
      </c>
      <c r="C27" s="6">
        <v>492959</v>
      </c>
      <c r="D27" s="6">
        <v>492959</v>
      </c>
      <c r="E27" s="6">
        <v>0</v>
      </c>
    </row>
    <row r="28" spans="1:5" ht="15" x14ac:dyDescent="0.25">
      <c r="A28" s="5" t="s">
        <v>28</v>
      </c>
      <c r="B28" s="6">
        <v>1647299</v>
      </c>
      <c r="C28" s="6">
        <v>473172</v>
      </c>
      <c r="D28" s="6">
        <v>473172</v>
      </c>
      <c r="E28" s="6">
        <v>0</v>
      </c>
    </row>
    <row r="29" spans="1:5" ht="15" x14ac:dyDescent="0.25">
      <c r="A29" s="5" t="s">
        <v>29</v>
      </c>
      <c r="B29" s="6">
        <v>256182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1228669</v>
      </c>
      <c r="C30" s="6">
        <v>311497</v>
      </c>
      <c r="D30" s="6">
        <v>311497</v>
      </c>
      <c r="E30" s="6">
        <v>0</v>
      </c>
    </row>
    <row r="31" spans="1:5" ht="15" x14ac:dyDescent="0.25">
      <c r="A31" s="5" t="s">
        <v>31</v>
      </c>
      <c r="B31" s="6">
        <v>1809251</v>
      </c>
      <c r="C31" s="6">
        <v>369509</v>
      </c>
      <c r="D31" s="6">
        <v>0</v>
      </c>
      <c r="E31" s="6">
        <v>369509</v>
      </c>
    </row>
    <row r="32" spans="1:5" ht="15" x14ac:dyDescent="0.25">
      <c r="A32" s="5" t="s">
        <v>32</v>
      </c>
      <c r="B32" s="6">
        <v>2445117</v>
      </c>
      <c r="C32" s="6">
        <v>694972</v>
      </c>
      <c r="D32" s="6">
        <v>633228</v>
      </c>
      <c r="E32" s="6">
        <v>61744</v>
      </c>
    </row>
    <row r="33" spans="1:5" ht="15" x14ac:dyDescent="0.25">
      <c r="A33" s="5" t="s">
        <v>33</v>
      </c>
      <c r="B33" s="6">
        <v>1107477</v>
      </c>
      <c r="C33" s="6">
        <v>210270</v>
      </c>
      <c r="D33" s="6">
        <v>209570</v>
      </c>
      <c r="E33" s="6">
        <v>700</v>
      </c>
    </row>
    <row r="34" spans="1:5" ht="15" x14ac:dyDescent="0.25">
      <c r="A34" s="5" t="s">
        <v>34</v>
      </c>
      <c r="B34" s="6">
        <v>700020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968154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256839</v>
      </c>
      <c r="C36" s="6">
        <v>94916</v>
      </c>
      <c r="D36" s="6">
        <v>94916</v>
      </c>
      <c r="E36" s="6">
        <v>0</v>
      </c>
    </row>
    <row r="37" spans="1:5" ht="15" x14ac:dyDescent="0.25">
      <c r="A37" s="5" t="s">
        <v>37</v>
      </c>
      <c r="B37" s="6">
        <v>1492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245972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598715</v>
      </c>
      <c r="C39" s="6">
        <v>215236</v>
      </c>
      <c r="D39" s="6">
        <v>215236</v>
      </c>
      <c r="E39" s="6">
        <v>0</v>
      </c>
    </row>
    <row r="40" spans="1:5" ht="15" x14ac:dyDescent="0.25">
      <c r="A40" s="5" t="s">
        <v>40</v>
      </c>
      <c r="B40" s="6">
        <v>191335</v>
      </c>
      <c r="C40" s="6">
        <v>56780</v>
      </c>
      <c r="D40" s="6">
        <v>56508</v>
      </c>
      <c r="E40" s="6">
        <v>272</v>
      </c>
    </row>
    <row r="41" spans="1:5" ht="15" x14ac:dyDescent="0.25">
      <c r="A41" s="5" t="s">
        <v>41</v>
      </c>
      <c r="B41" s="6">
        <v>1699765</v>
      </c>
      <c r="C41" s="6">
        <v>568364</v>
      </c>
      <c r="D41" s="6">
        <v>568364</v>
      </c>
      <c r="E41" s="6">
        <v>0</v>
      </c>
    </row>
    <row r="42" spans="1:5" ht="15" x14ac:dyDescent="0.25">
      <c r="A42" s="5" t="s">
        <v>42</v>
      </c>
      <c r="B42" s="6">
        <v>863477</v>
      </c>
      <c r="C42" s="6">
        <v>257654</v>
      </c>
      <c r="D42" s="6">
        <v>257654</v>
      </c>
      <c r="E42" s="6">
        <v>0</v>
      </c>
    </row>
    <row r="43" spans="1:5" ht="15" x14ac:dyDescent="0.25">
      <c r="A43" s="5" t="s">
        <v>43</v>
      </c>
      <c r="B43" s="6">
        <v>6170793</v>
      </c>
      <c r="C43" s="6">
        <v>1941667</v>
      </c>
      <c r="D43" s="6">
        <v>304192</v>
      </c>
      <c r="E43" s="6">
        <v>1637745</v>
      </c>
    </row>
    <row r="44" spans="1:5" ht="15" x14ac:dyDescent="0.25">
      <c r="A44" s="5" t="s">
        <v>44</v>
      </c>
      <c r="B44" s="6">
        <v>2147230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93019</v>
      </c>
      <c r="C45" s="6">
        <v>20893</v>
      </c>
      <c r="D45" s="6">
        <v>19828</v>
      </c>
      <c r="E45" s="6">
        <v>1065</v>
      </c>
    </row>
    <row r="46" spans="1:5" ht="15" x14ac:dyDescent="0.25">
      <c r="A46" s="5" t="s">
        <v>46</v>
      </c>
      <c r="B46" s="6">
        <v>3022167</v>
      </c>
      <c r="C46" s="6">
        <v>645274</v>
      </c>
      <c r="D46" s="6">
        <v>644909</v>
      </c>
      <c r="E46" s="6">
        <v>365</v>
      </c>
    </row>
    <row r="47" spans="1:5" ht="15" x14ac:dyDescent="0.25">
      <c r="A47" s="5" t="s">
        <v>47</v>
      </c>
      <c r="B47" s="6">
        <v>656753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967193</v>
      </c>
      <c r="C48" s="6">
        <v>458746</v>
      </c>
      <c r="D48" s="6">
        <v>386839</v>
      </c>
      <c r="E48" s="6">
        <v>71907</v>
      </c>
    </row>
    <row r="49" spans="1:5" ht="15" x14ac:dyDescent="0.25">
      <c r="A49" s="5" t="s">
        <v>49</v>
      </c>
      <c r="B49" s="6">
        <v>2745884</v>
      </c>
      <c r="C49" s="6">
        <v>798424</v>
      </c>
      <c r="D49" s="6">
        <v>757342</v>
      </c>
      <c r="E49" s="6">
        <v>41082</v>
      </c>
    </row>
    <row r="50" spans="1:5" ht="15" x14ac:dyDescent="0.25">
      <c r="A50" s="5" t="s">
        <v>50</v>
      </c>
      <c r="B50" s="6">
        <v>1257013</v>
      </c>
      <c r="C50" s="6">
        <v>383202</v>
      </c>
      <c r="D50" s="6" t="s">
        <v>8</v>
      </c>
      <c r="E50" s="6">
        <v>383202</v>
      </c>
    </row>
    <row r="51" spans="1:5" ht="15" x14ac:dyDescent="0.25">
      <c r="A51" s="5" t="s">
        <v>51</v>
      </c>
      <c r="B51" s="6">
        <v>309510</v>
      </c>
      <c r="C51" s="6">
        <v>69769</v>
      </c>
      <c r="D51" s="6">
        <v>69769</v>
      </c>
      <c r="E51" s="6">
        <v>0</v>
      </c>
    </row>
    <row r="52" spans="1:5" ht="15" x14ac:dyDescent="0.25">
      <c r="A52" s="5" t="s">
        <v>52</v>
      </c>
      <c r="B52" s="6">
        <v>1258139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105352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1641168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4326704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298611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178454</v>
      </c>
      <c r="C57" s="6">
        <v>58761</v>
      </c>
      <c r="D57" s="6">
        <v>0</v>
      </c>
      <c r="E57" s="6">
        <v>58761</v>
      </c>
    </row>
    <row r="58" spans="1:5" ht="15" x14ac:dyDescent="0.25">
      <c r="A58" s="5" t="s">
        <v>58</v>
      </c>
      <c r="B58" s="6">
        <v>23934</v>
      </c>
      <c r="C58" s="6">
        <v>9617</v>
      </c>
      <c r="D58" s="6" t="s">
        <v>8</v>
      </c>
      <c r="E58" s="6">
        <v>9617</v>
      </c>
    </row>
    <row r="59" spans="1:5" ht="15" x14ac:dyDescent="0.25">
      <c r="A59" s="5" t="s">
        <v>59</v>
      </c>
      <c r="B59" s="6">
        <v>1047599</v>
      </c>
      <c r="C59" s="6" t="s">
        <v>8</v>
      </c>
      <c r="D59" s="6" t="s">
        <v>8</v>
      </c>
      <c r="E59" s="6" t="s">
        <v>8</v>
      </c>
    </row>
    <row r="60" spans="1:5" ht="15" x14ac:dyDescent="0.25">
      <c r="A60" s="5" t="s">
        <v>60</v>
      </c>
      <c r="B60" s="6">
        <v>1799869</v>
      </c>
      <c r="C60" s="6">
        <v>584973</v>
      </c>
      <c r="D60" s="6">
        <v>571589</v>
      </c>
      <c r="E60" s="6">
        <v>13384</v>
      </c>
    </row>
    <row r="61" spans="1:5" ht="15" x14ac:dyDescent="0.25">
      <c r="A61" s="5" t="s">
        <v>61</v>
      </c>
      <c r="B61" s="6">
        <v>542281</v>
      </c>
      <c r="C61" s="6">
        <v>169044</v>
      </c>
      <c r="D61" s="6">
        <v>169044</v>
      </c>
      <c r="E61" s="6">
        <v>0</v>
      </c>
    </row>
    <row r="62" spans="1:5" ht="15" x14ac:dyDescent="0.25">
      <c r="A62" s="5" t="s">
        <v>62</v>
      </c>
      <c r="B62" s="6">
        <v>1190616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59092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77061511</v>
      </c>
      <c r="C64" s="8">
        <f>SUM(C8:C63)</f>
        <v>15805637</v>
      </c>
      <c r="D64" s="8">
        <f>SUM(D8:D63)</f>
        <v>12384750</v>
      </c>
      <c r="E64" s="8">
        <f>SUM(E8:E63)</f>
        <v>3421157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</sheetData>
  <conditionalFormatting sqref="A8:E64">
    <cfRule type="expression" dxfId="80" priority="1">
      <formula>MOD(ROW(),2)&lt;&gt;0</formula>
    </cfRule>
  </conditionalFormatting>
  <pageMargins left="0.5" right="0.5" top="0.5" bottom="0.5" header="0.5" footer="0.1"/>
  <pageSetup scale="94" fitToHeight="0" orientation="portrait" r:id="rId1"/>
  <headerFooter>
    <oddFooter>&amp;L&amp;"-,Regular"&amp;7Created On: Thursday, August 1, 2019 9:22 AM&amp;R&amp;"-,Regular"&amp;7Page : &amp;"-,Regular"&amp;7&amp;P&amp;"-,Regular"&amp;7 of &amp;"-,Regular"&amp;7&amp;N</oddFooter>
    <evenFooter>&amp;L&amp;"-,Regular"&amp;7Created On: Thursday, August 1, 2019 9:22 AM&amp;R&amp;"-,Regular"&amp;7Page : &amp;"-,Regular"&amp;7&amp;P&amp;"-,Regular"&amp;7 of &amp;"-,Regular"&amp;7&amp;N</evenFooter>
    <firstFooter>&amp;L&amp;"-,Regular"&amp;7Created On: Thursday, August 1, 2019 9:22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1"/>
  <sheetViews>
    <sheetView workbookViewId="0">
      <pane ySplit="7" topLeftCell="A38" activePane="bottomLeft" state="frozenSplit"/>
      <selection pane="bottomLeft" activeCell="B7" sqref="B7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73</v>
      </c>
      <c r="B2" s="2"/>
      <c r="C2" s="2"/>
      <c r="D2" s="2"/>
      <c r="E2" s="2"/>
    </row>
    <row r="3" spans="1:5" ht="15" x14ac:dyDescent="0.25">
      <c r="A3" s="2"/>
      <c r="B3" s="2"/>
      <c r="C3" s="11" t="s">
        <v>83</v>
      </c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1018967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196618</v>
      </c>
      <c r="C9" s="6">
        <v>43303</v>
      </c>
      <c r="D9" s="6">
        <v>43271</v>
      </c>
      <c r="E9" s="6">
        <v>32</v>
      </c>
    </row>
    <row r="10" spans="1:5" ht="15" x14ac:dyDescent="0.25">
      <c r="A10" s="5" t="s">
        <v>10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1889445</v>
      </c>
      <c r="C11" s="6">
        <v>420428</v>
      </c>
      <c r="D11" s="6">
        <v>109296</v>
      </c>
      <c r="E11" s="6">
        <v>311132</v>
      </c>
    </row>
    <row r="12" spans="1:5" ht="15" x14ac:dyDescent="0.25">
      <c r="A12" s="5" t="s">
        <v>12</v>
      </c>
      <c r="B12" s="6">
        <v>929130</v>
      </c>
      <c r="C12" s="6">
        <v>300840</v>
      </c>
      <c r="D12" s="6">
        <v>300546</v>
      </c>
      <c r="E12" s="6">
        <v>294</v>
      </c>
    </row>
    <row r="13" spans="1:5" ht="15" x14ac:dyDescent="0.25">
      <c r="A13" s="5" t="s">
        <v>13</v>
      </c>
      <c r="B13" s="6">
        <v>13106525</v>
      </c>
      <c r="C13" s="6">
        <v>3826607</v>
      </c>
      <c r="D13" s="6">
        <v>3826607</v>
      </c>
      <c r="E13" s="6">
        <v>0</v>
      </c>
    </row>
    <row r="14" spans="1:5" ht="15" x14ac:dyDescent="0.25">
      <c r="A14" s="5" t="s">
        <v>14</v>
      </c>
      <c r="B14" s="6">
        <v>1298809</v>
      </c>
      <c r="C14" s="6">
        <v>410725</v>
      </c>
      <c r="D14" s="6">
        <v>408481</v>
      </c>
      <c r="E14" s="6">
        <v>2244</v>
      </c>
    </row>
    <row r="15" spans="1:5" ht="15" x14ac:dyDescent="0.25">
      <c r="A15" s="5" t="s">
        <v>15</v>
      </c>
      <c r="B15" s="6">
        <v>913961</v>
      </c>
      <c r="C15" s="6">
        <v>241433</v>
      </c>
      <c r="D15" s="6">
        <v>221086</v>
      </c>
      <c r="E15" s="6">
        <v>20347</v>
      </c>
    </row>
    <row r="16" spans="1:5" ht="15" x14ac:dyDescent="0.25">
      <c r="A16" s="5" t="s">
        <v>16</v>
      </c>
      <c r="B16" s="6">
        <v>211567</v>
      </c>
      <c r="C16" s="6">
        <v>63099</v>
      </c>
      <c r="D16" s="6">
        <v>10492</v>
      </c>
      <c r="E16" s="6">
        <v>52607</v>
      </c>
    </row>
    <row r="17" spans="1:5" ht="15" x14ac:dyDescent="0.25">
      <c r="A17" s="5" t="s">
        <v>17</v>
      </c>
      <c r="B17" s="6">
        <v>264587</v>
      </c>
      <c r="C17" s="6">
        <v>113085</v>
      </c>
      <c r="D17" s="6">
        <v>71873</v>
      </c>
      <c r="E17" s="6">
        <v>41212</v>
      </c>
    </row>
    <row r="18" spans="1:5" ht="15" x14ac:dyDescent="0.25">
      <c r="A18" s="5" t="s">
        <v>18</v>
      </c>
      <c r="B18" s="6">
        <v>3968314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1960635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35693</v>
      </c>
      <c r="C20" s="6">
        <v>3892</v>
      </c>
      <c r="D20" s="6" t="s">
        <v>8</v>
      </c>
      <c r="E20" s="6">
        <v>3892</v>
      </c>
    </row>
    <row r="21" spans="1:5" ht="15" x14ac:dyDescent="0.25">
      <c r="A21" s="5" t="s">
        <v>21</v>
      </c>
      <c r="B21" s="6">
        <v>331067</v>
      </c>
      <c r="C21" s="6">
        <v>120890</v>
      </c>
      <c r="D21" s="6">
        <v>22889</v>
      </c>
      <c r="E21" s="6">
        <v>98001</v>
      </c>
    </row>
    <row r="22" spans="1:5" ht="15" x14ac:dyDescent="0.25">
      <c r="A22" s="5" t="s">
        <v>22</v>
      </c>
      <c r="B22" s="6">
        <v>307284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2892062</v>
      </c>
      <c r="C23" s="6">
        <v>737515</v>
      </c>
      <c r="D23" s="6">
        <v>631243</v>
      </c>
      <c r="E23" s="6">
        <v>106272</v>
      </c>
    </row>
    <row r="24" spans="1:5" ht="15" x14ac:dyDescent="0.25">
      <c r="A24" s="5" t="s">
        <v>24</v>
      </c>
      <c r="B24" s="6">
        <v>1346039</v>
      </c>
      <c r="C24" s="6">
        <v>319894</v>
      </c>
      <c r="D24" s="6">
        <v>319894</v>
      </c>
      <c r="E24" s="6">
        <v>0</v>
      </c>
    </row>
    <row r="25" spans="1:5" ht="15" x14ac:dyDescent="0.25">
      <c r="A25" s="5" t="s">
        <v>25</v>
      </c>
      <c r="B25" s="6">
        <v>598557</v>
      </c>
      <c r="C25" s="6">
        <v>159281</v>
      </c>
      <c r="D25" s="6">
        <v>146143</v>
      </c>
      <c r="E25" s="6">
        <v>13138</v>
      </c>
    </row>
    <row r="26" spans="1:5" ht="15" x14ac:dyDescent="0.25">
      <c r="A26" s="5" t="s">
        <v>26</v>
      </c>
      <c r="B26" s="6">
        <v>370313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1356170</v>
      </c>
      <c r="C27" s="6">
        <v>493607</v>
      </c>
      <c r="D27" s="6">
        <v>493607</v>
      </c>
      <c r="E27" s="6">
        <v>0</v>
      </c>
    </row>
    <row r="28" spans="1:5" ht="15" x14ac:dyDescent="0.25">
      <c r="A28" s="5" t="s">
        <v>28</v>
      </c>
      <c r="B28" s="6">
        <v>1647411</v>
      </c>
      <c r="C28" s="6">
        <v>476258</v>
      </c>
      <c r="D28" s="6">
        <v>476258</v>
      </c>
      <c r="E28" s="6">
        <v>0</v>
      </c>
    </row>
    <row r="29" spans="1:5" ht="15" x14ac:dyDescent="0.25">
      <c r="A29" s="5" t="s">
        <v>29</v>
      </c>
      <c r="B29" s="6">
        <v>256424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1233989</v>
      </c>
      <c r="C30" s="6">
        <v>312583</v>
      </c>
      <c r="D30" s="6">
        <v>312583</v>
      </c>
      <c r="E30" s="6">
        <v>0</v>
      </c>
    </row>
    <row r="31" spans="1:5" ht="15" x14ac:dyDescent="0.25">
      <c r="A31" s="5" t="s">
        <v>31</v>
      </c>
      <c r="B31" s="6">
        <v>1817350</v>
      </c>
      <c r="C31" s="6">
        <v>376408</v>
      </c>
      <c r="D31" s="6">
        <v>0</v>
      </c>
      <c r="E31" s="6">
        <v>376408</v>
      </c>
    </row>
    <row r="32" spans="1:5" ht="15" x14ac:dyDescent="0.25">
      <c r="A32" s="5" t="s">
        <v>32</v>
      </c>
      <c r="B32" s="6">
        <v>2446407</v>
      </c>
      <c r="C32" s="6">
        <v>696572</v>
      </c>
      <c r="D32" s="6">
        <v>635680</v>
      </c>
      <c r="E32" s="6">
        <v>60892</v>
      </c>
    </row>
    <row r="33" spans="1:5" ht="15" x14ac:dyDescent="0.25">
      <c r="A33" s="5" t="s">
        <v>33</v>
      </c>
      <c r="B33" s="6">
        <v>1095709</v>
      </c>
      <c r="C33" s="6">
        <v>206685</v>
      </c>
      <c r="D33" s="6">
        <v>205983</v>
      </c>
      <c r="E33" s="6">
        <v>702</v>
      </c>
    </row>
    <row r="34" spans="1:5" ht="15" x14ac:dyDescent="0.25">
      <c r="A34" s="5" t="s">
        <v>34</v>
      </c>
      <c r="B34" s="6">
        <v>696685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963062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257398</v>
      </c>
      <c r="C36" s="6">
        <v>95667</v>
      </c>
      <c r="D36" s="6">
        <v>95667</v>
      </c>
      <c r="E36" s="6">
        <v>0</v>
      </c>
    </row>
    <row r="37" spans="1:5" ht="15" x14ac:dyDescent="0.25">
      <c r="A37" s="5" t="s">
        <v>37</v>
      </c>
      <c r="B37" s="6">
        <v>1196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246679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598712</v>
      </c>
      <c r="C39" s="6">
        <v>214570</v>
      </c>
      <c r="D39" s="6">
        <v>214570</v>
      </c>
      <c r="E39" s="6">
        <v>0</v>
      </c>
    </row>
    <row r="40" spans="1:5" ht="15" x14ac:dyDescent="0.25">
      <c r="A40" s="5" t="s">
        <v>40</v>
      </c>
      <c r="B40" s="6">
        <v>190733</v>
      </c>
      <c r="C40" s="6">
        <v>56186</v>
      </c>
      <c r="D40" s="6">
        <v>55908</v>
      </c>
      <c r="E40" s="6">
        <v>278</v>
      </c>
    </row>
    <row r="41" spans="1:5" ht="15" x14ac:dyDescent="0.25">
      <c r="A41" s="5" t="s">
        <v>41</v>
      </c>
      <c r="B41" s="6">
        <v>1699435</v>
      </c>
      <c r="C41" s="6">
        <v>568669</v>
      </c>
      <c r="D41" s="6">
        <v>568669</v>
      </c>
      <c r="E41" s="6">
        <v>0</v>
      </c>
    </row>
    <row r="42" spans="1:5" ht="15" x14ac:dyDescent="0.25">
      <c r="A42" s="5" t="s">
        <v>42</v>
      </c>
      <c r="B42" s="6">
        <v>859338</v>
      </c>
      <c r="C42" s="6">
        <v>257150</v>
      </c>
      <c r="D42" s="6">
        <v>257150</v>
      </c>
      <c r="E42" s="6">
        <v>0</v>
      </c>
    </row>
    <row r="43" spans="1:5" ht="15" x14ac:dyDescent="0.25">
      <c r="A43" s="5" t="s">
        <v>43</v>
      </c>
      <c r="B43" s="6">
        <v>6166041</v>
      </c>
      <c r="C43" s="6">
        <v>1937397</v>
      </c>
      <c r="D43" s="6">
        <v>303464</v>
      </c>
      <c r="E43" s="6">
        <v>1633933</v>
      </c>
    </row>
    <row r="44" spans="1:5" ht="15" x14ac:dyDescent="0.25">
      <c r="A44" s="5" t="s">
        <v>44</v>
      </c>
      <c r="B44" s="6">
        <v>2150335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93182</v>
      </c>
      <c r="C45" s="6">
        <v>20818</v>
      </c>
      <c r="D45" s="6">
        <v>19747</v>
      </c>
      <c r="E45" s="6">
        <v>1071</v>
      </c>
    </row>
    <row r="46" spans="1:5" ht="15" x14ac:dyDescent="0.25">
      <c r="A46" s="5" t="s">
        <v>46</v>
      </c>
      <c r="B46" s="6">
        <v>3014231</v>
      </c>
      <c r="C46" s="6">
        <v>640211</v>
      </c>
      <c r="D46" s="6">
        <v>639852</v>
      </c>
      <c r="E46" s="6">
        <v>359</v>
      </c>
    </row>
    <row r="47" spans="1:5" ht="15" x14ac:dyDescent="0.25">
      <c r="A47" s="5" t="s">
        <v>47</v>
      </c>
      <c r="B47" s="6">
        <v>651872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959901</v>
      </c>
      <c r="C48" s="6">
        <v>453840</v>
      </c>
      <c r="D48" s="6">
        <v>382597</v>
      </c>
      <c r="E48" s="6">
        <v>71243</v>
      </c>
    </row>
    <row r="49" spans="1:5" ht="15" x14ac:dyDescent="0.25">
      <c r="A49" s="5" t="s">
        <v>49</v>
      </c>
      <c r="B49" s="6">
        <v>2746922</v>
      </c>
      <c r="C49" s="6">
        <v>798738</v>
      </c>
      <c r="D49" s="6">
        <v>757557</v>
      </c>
      <c r="E49" s="6">
        <v>41181</v>
      </c>
    </row>
    <row r="50" spans="1:5" ht="15" x14ac:dyDescent="0.25">
      <c r="A50" s="5" t="s">
        <v>50</v>
      </c>
      <c r="B50" s="6">
        <v>1265139</v>
      </c>
      <c r="C50" s="6">
        <v>387916</v>
      </c>
      <c r="D50" s="6" t="s">
        <v>8</v>
      </c>
      <c r="E50" s="6">
        <v>387916</v>
      </c>
    </row>
    <row r="51" spans="1:5" ht="15" x14ac:dyDescent="0.25">
      <c r="A51" s="5" t="s">
        <v>51</v>
      </c>
      <c r="B51" s="6">
        <v>309321</v>
      </c>
      <c r="C51" s="6">
        <v>69813</v>
      </c>
      <c r="D51" s="6">
        <v>69813</v>
      </c>
      <c r="E51" s="6">
        <v>0</v>
      </c>
    </row>
    <row r="52" spans="1:5" ht="15" x14ac:dyDescent="0.25">
      <c r="A52" s="5" t="s">
        <v>52</v>
      </c>
      <c r="B52" s="6">
        <v>1258564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105692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1615240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4304474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300615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178664</v>
      </c>
      <c r="C57" s="6">
        <v>58855</v>
      </c>
      <c r="D57" s="6">
        <v>0</v>
      </c>
      <c r="E57" s="6">
        <v>58855</v>
      </c>
    </row>
    <row r="58" spans="1:5" ht="15" x14ac:dyDescent="0.25">
      <c r="A58" s="5" t="s">
        <v>58</v>
      </c>
      <c r="B58" s="6">
        <v>24198</v>
      </c>
      <c r="C58" s="6">
        <v>9751</v>
      </c>
      <c r="D58" s="6" t="s">
        <v>8</v>
      </c>
      <c r="E58" s="6">
        <v>9751</v>
      </c>
    </row>
    <row r="59" spans="1:5" ht="15" x14ac:dyDescent="0.25">
      <c r="A59" s="5" t="s">
        <v>59</v>
      </c>
      <c r="B59" s="6">
        <v>1052069</v>
      </c>
      <c r="C59" s="6" t="s">
        <v>8</v>
      </c>
      <c r="D59" s="6" t="s">
        <v>8</v>
      </c>
      <c r="E59" s="6" t="s">
        <v>8</v>
      </c>
    </row>
    <row r="60" spans="1:5" ht="15" x14ac:dyDescent="0.25">
      <c r="A60" s="5" t="s">
        <v>60</v>
      </c>
      <c r="B60" s="6">
        <v>1791975</v>
      </c>
      <c r="C60" s="6">
        <v>582620</v>
      </c>
      <c r="D60" s="6">
        <v>569170</v>
      </c>
      <c r="E60" s="6">
        <v>13450</v>
      </c>
    </row>
    <row r="61" spans="1:5" ht="15" x14ac:dyDescent="0.25">
      <c r="A61" s="5" t="s">
        <v>61</v>
      </c>
      <c r="B61" s="6">
        <v>542038</v>
      </c>
      <c r="C61" s="6">
        <v>168039</v>
      </c>
      <c r="D61" s="6">
        <v>168039</v>
      </c>
      <c r="E61" s="6">
        <v>0</v>
      </c>
    </row>
    <row r="62" spans="1:5" ht="15" x14ac:dyDescent="0.25">
      <c r="A62" s="5" t="s">
        <v>62</v>
      </c>
      <c r="B62" s="6">
        <v>1192743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59029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76816414</v>
      </c>
      <c r="C64" s="8">
        <f>SUM(C8:C63)</f>
        <v>15643345</v>
      </c>
      <c r="D64" s="8">
        <f>SUM(D8:D63)</f>
        <v>12338135</v>
      </c>
      <c r="E64" s="8">
        <f>SUM(E8:E63)</f>
        <v>3305210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</sheetData>
  <conditionalFormatting sqref="A8:E64">
    <cfRule type="expression" dxfId="79" priority="1">
      <formula>MOD(ROW(),2)&lt;&gt;0</formula>
    </cfRule>
  </conditionalFormatting>
  <pageMargins left="0.5" right="0.5" top="0.5" bottom="0.5" header="0.5" footer="0.1"/>
  <pageSetup scale="94" fitToHeight="0" orientation="portrait" r:id="rId1"/>
  <headerFooter>
    <oddFooter>&amp;L&amp;"-,Regular"&amp;7Created On: Thursday, August 1, 2019 9:22 AM&amp;R&amp;"-,Regular"&amp;7Page : &amp;"-,Regular"&amp;7&amp;P&amp;"-,Regular"&amp;7 of &amp;"-,Regular"&amp;7&amp;N</oddFooter>
    <evenFooter>&amp;L&amp;"-,Regular"&amp;7Created On: Thursday, August 1, 2019 9:22 AM&amp;R&amp;"-,Regular"&amp;7Page : &amp;"-,Regular"&amp;7&amp;P&amp;"-,Regular"&amp;7 of &amp;"-,Regular"&amp;7&amp;N</evenFooter>
    <firstFooter>&amp;L&amp;"-,Regular"&amp;7Created On: Thursday, August 1, 2019 9:22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81"/>
  <sheetViews>
    <sheetView workbookViewId="0">
      <pane ySplit="7" topLeftCell="A37" activePane="bottomLeft" state="frozenSplit"/>
      <selection pane="bottomLeft" activeCell="A7" sqref="A7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74</v>
      </c>
      <c r="B2" s="2"/>
      <c r="C2" s="2"/>
      <c r="D2" s="2"/>
      <c r="E2" s="2"/>
    </row>
    <row r="3" spans="1:5" ht="15" x14ac:dyDescent="0.25">
      <c r="A3" s="2"/>
      <c r="B3" s="2"/>
      <c r="C3" s="11" t="s">
        <v>83</v>
      </c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1022959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197607</v>
      </c>
      <c r="C9" s="6">
        <v>43817</v>
      </c>
      <c r="D9" s="6">
        <v>43788</v>
      </c>
      <c r="E9" s="6">
        <v>29</v>
      </c>
    </row>
    <row r="10" spans="1:5" ht="15" x14ac:dyDescent="0.25">
      <c r="A10" s="5" t="s">
        <v>10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1871923</v>
      </c>
      <c r="C11" s="6">
        <v>415803</v>
      </c>
      <c r="D11" s="6">
        <v>107641</v>
      </c>
      <c r="E11" s="6">
        <v>308162</v>
      </c>
    </row>
    <row r="12" spans="1:5" ht="15" x14ac:dyDescent="0.25">
      <c r="A12" s="5" t="s">
        <v>12</v>
      </c>
      <c r="B12" s="6">
        <v>922157</v>
      </c>
      <c r="C12" s="6">
        <v>292573</v>
      </c>
      <c r="D12" s="6">
        <v>292299</v>
      </c>
      <c r="E12" s="6">
        <v>274</v>
      </c>
    </row>
    <row r="13" spans="1:5" ht="15" x14ac:dyDescent="0.25">
      <c r="A13" s="5" t="s">
        <v>13</v>
      </c>
      <c r="B13" s="6">
        <v>12966593</v>
      </c>
      <c r="C13" s="6">
        <v>3787079</v>
      </c>
      <c r="D13" s="6">
        <v>3787079</v>
      </c>
      <c r="E13" s="6">
        <v>0</v>
      </c>
    </row>
    <row r="14" spans="1:5" ht="15" x14ac:dyDescent="0.25">
      <c r="A14" s="5" t="s">
        <v>14</v>
      </c>
      <c r="B14" s="6">
        <v>1294260</v>
      </c>
      <c r="C14" s="6">
        <v>415324</v>
      </c>
      <c r="D14" s="6">
        <v>413149</v>
      </c>
      <c r="E14" s="6">
        <v>2175</v>
      </c>
    </row>
    <row r="15" spans="1:5" ht="15" x14ac:dyDescent="0.25">
      <c r="A15" s="5" t="s">
        <v>15</v>
      </c>
      <c r="B15" s="6">
        <v>927932</v>
      </c>
      <c r="C15" s="6">
        <v>246769</v>
      </c>
      <c r="D15" s="6">
        <v>225756</v>
      </c>
      <c r="E15" s="6">
        <v>21013</v>
      </c>
    </row>
    <row r="16" spans="1:5" ht="15" x14ac:dyDescent="0.25">
      <c r="A16" s="5" t="s">
        <v>16</v>
      </c>
      <c r="B16" s="6">
        <v>210486</v>
      </c>
      <c r="C16" s="6">
        <v>62756</v>
      </c>
      <c r="D16" s="6">
        <v>10293</v>
      </c>
      <c r="E16" s="6">
        <v>52463</v>
      </c>
    </row>
    <row r="17" spans="1:5" ht="15" x14ac:dyDescent="0.25">
      <c r="A17" s="5" t="s">
        <v>17</v>
      </c>
      <c r="B17" s="6">
        <v>261661</v>
      </c>
      <c r="C17" s="6">
        <v>110826</v>
      </c>
      <c r="D17" s="6">
        <v>70172</v>
      </c>
      <c r="E17" s="6">
        <v>40654</v>
      </c>
    </row>
    <row r="18" spans="1:5" ht="15" x14ac:dyDescent="0.25">
      <c r="A18" s="5" t="s">
        <v>18</v>
      </c>
      <c r="B18" s="6">
        <v>3917285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1963489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35203</v>
      </c>
      <c r="C20" s="6">
        <v>3869</v>
      </c>
      <c r="D20" s="6" t="s">
        <v>8</v>
      </c>
      <c r="E20" s="6">
        <v>3869</v>
      </c>
    </row>
    <row r="21" spans="1:5" ht="15" x14ac:dyDescent="0.25">
      <c r="A21" s="5" t="s">
        <v>21</v>
      </c>
      <c r="B21" s="6">
        <v>331796</v>
      </c>
      <c r="C21" s="6">
        <v>121219</v>
      </c>
      <c r="D21" s="6">
        <v>22886</v>
      </c>
      <c r="E21" s="6">
        <v>98333</v>
      </c>
    </row>
    <row r="22" spans="1:5" ht="15" x14ac:dyDescent="0.25">
      <c r="A22" s="5" t="s">
        <v>22</v>
      </c>
      <c r="B22" s="6">
        <v>299518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2867512</v>
      </c>
      <c r="C23" s="6">
        <v>731008</v>
      </c>
      <c r="D23" s="6">
        <v>624350</v>
      </c>
      <c r="E23" s="6">
        <v>106658</v>
      </c>
    </row>
    <row r="24" spans="1:5" ht="15" x14ac:dyDescent="0.25">
      <c r="A24" s="5" t="s">
        <v>24</v>
      </c>
      <c r="B24" s="6">
        <v>1327002</v>
      </c>
      <c r="C24" s="6">
        <v>310196</v>
      </c>
      <c r="D24" s="6">
        <v>310196</v>
      </c>
      <c r="E24" s="6">
        <v>0</v>
      </c>
    </row>
    <row r="25" spans="1:5" ht="15" x14ac:dyDescent="0.25">
      <c r="A25" s="5" t="s">
        <v>25</v>
      </c>
      <c r="B25" s="6">
        <v>600397</v>
      </c>
      <c r="C25" s="6">
        <v>161393</v>
      </c>
      <c r="D25" s="6">
        <v>148219</v>
      </c>
      <c r="E25" s="6">
        <v>13174</v>
      </c>
    </row>
    <row r="26" spans="1:5" ht="15" x14ac:dyDescent="0.25">
      <c r="A26" s="5" t="s">
        <v>26</v>
      </c>
      <c r="B26" s="6">
        <v>370031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1357355</v>
      </c>
      <c r="C27" s="6">
        <v>492751</v>
      </c>
      <c r="D27" s="6">
        <v>492751</v>
      </c>
      <c r="E27" s="6">
        <v>0</v>
      </c>
    </row>
    <row r="28" spans="1:5" ht="15" x14ac:dyDescent="0.25">
      <c r="A28" s="5" t="s">
        <v>28</v>
      </c>
      <c r="B28" s="6">
        <v>1645807</v>
      </c>
      <c r="C28" s="6">
        <v>478722</v>
      </c>
      <c r="D28" s="6">
        <v>478722</v>
      </c>
      <c r="E28" s="6">
        <v>0</v>
      </c>
    </row>
    <row r="29" spans="1:5" ht="15" x14ac:dyDescent="0.25">
      <c r="A29" s="5" t="s">
        <v>29</v>
      </c>
      <c r="B29" s="6">
        <v>257452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1237993</v>
      </c>
      <c r="C30" s="6">
        <v>313593</v>
      </c>
      <c r="D30" s="6">
        <v>313593</v>
      </c>
      <c r="E30" s="6">
        <v>0</v>
      </c>
    </row>
    <row r="31" spans="1:5" ht="15" x14ac:dyDescent="0.25">
      <c r="A31" s="5" t="s">
        <v>31</v>
      </c>
      <c r="B31" s="6">
        <v>2007685</v>
      </c>
      <c r="C31" s="6">
        <v>432659</v>
      </c>
      <c r="D31" s="6">
        <v>0</v>
      </c>
      <c r="E31" s="6">
        <v>432659</v>
      </c>
    </row>
    <row r="32" spans="1:5" ht="15" x14ac:dyDescent="0.25">
      <c r="A32" s="5" t="s">
        <v>32</v>
      </c>
      <c r="B32" s="6">
        <v>2450490</v>
      </c>
      <c r="C32" s="6">
        <v>699032</v>
      </c>
      <c r="D32" s="6">
        <v>638686</v>
      </c>
      <c r="E32" s="6">
        <v>60346</v>
      </c>
    </row>
    <row r="33" spans="1:5" ht="15" x14ac:dyDescent="0.25">
      <c r="A33" s="5" t="s">
        <v>33</v>
      </c>
      <c r="B33" s="6">
        <v>1078140</v>
      </c>
      <c r="C33" s="6">
        <v>202237</v>
      </c>
      <c r="D33" s="6">
        <v>201547</v>
      </c>
      <c r="E33" s="6">
        <v>690</v>
      </c>
    </row>
    <row r="34" spans="1:5" ht="15" x14ac:dyDescent="0.25">
      <c r="A34" s="5" t="s">
        <v>34</v>
      </c>
      <c r="B34" s="6">
        <v>692063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958954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256778</v>
      </c>
      <c r="C36" s="6">
        <v>96040</v>
      </c>
      <c r="D36" s="6">
        <v>96040</v>
      </c>
      <c r="E36" s="6">
        <v>0</v>
      </c>
    </row>
    <row r="37" spans="1:5" ht="15" x14ac:dyDescent="0.25">
      <c r="A37" s="5" t="s">
        <v>37</v>
      </c>
      <c r="B37" s="6">
        <v>1473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247459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598902</v>
      </c>
      <c r="C39" s="6">
        <v>214266</v>
      </c>
      <c r="D39" s="6">
        <v>214266</v>
      </c>
      <c r="E39" s="6">
        <v>0</v>
      </c>
    </row>
    <row r="40" spans="1:5" ht="15" x14ac:dyDescent="0.25">
      <c r="A40" s="5" t="s">
        <v>40</v>
      </c>
      <c r="B40" s="6">
        <v>189766</v>
      </c>
      <c r="C40" s="6">
        <v>55736</v>
      </c>
      <c r="D40" s="6">
        <v>55450</v>
      </c>
      <c r="E40" s="6">
        <v>286</v>
      </c>
    </row>
    <row r="41" spans="1:5" ht="15" x14ac:dyDescent="0.25">
      <c r="A41" s="5" t="s">
        <v>41</v>
      </c>
      <c r="B41" s="6">
        <v>1690042</v>
      </c>
      <c r="C41" s="6">
        <v>567189</v>
      </c>
      <c r="D41" s="6">
        <v>567189</v>
      </c>
      <c r="E41" s="6">
        <v>0</v>
      </c>
    </row>
    <row r="42" spans="1:5" ht="15" x14ac:dyDescent="0.25">
      <c r="A42" s="5" t="s">
        <v>42</v>
      </c>
      <c r="B42" s="6">
        <v>855320</v>
      </c>
      <c r="C42" s="6">
        <v>256228</v>
      </c>
      <c r="D42" s="6">
        <v>256228</v>
      </c>
      <c r="E42" s="6">
        <v>0</v>
      </c>
    </row>
    <row r="43" spans="1:5" ht="15" x14ac:dyDescent="0.25">
      <c r="A43" s="5" t="s">
        <v>43</v>
      </c>
      <c r="B43" s="6">
        <v>6167453</v>
      </c>
      <c r="C43" s="6">
        <v>1936529</v>
      </c>
      <c r="D43" s="6">
        <v>303337</v>
      </c>
      <c r="E43" s="6">
        <v>1633192</v>
      </c>
    </row>
    <row r="44" spans="1:5" ht="15" x14ac:dyDescent="0.25">
      <c r="A44" s="5" t="s">
        <v>44</v>
      </c>
      <c r="B44" s="6">
        <v>2167786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93285</v>
      </c>
      <c r="C45" s="6">
        <v>20666</v>
      </c>
      <c r="D45" s="6">
        <v>19610</v>
      </c>
      <c r="E45" s="6">
        <v>1056</v>
      </c>
    </row>
    <row r="46" spans="1:5" ht="15" x14ac:dyDescent="0.25">
      <c r="A46" s="5" t="s">
        <v>46</v>
      </c>
      <c r="B46" s="6">
        <v>3000873</v>
      </c>
      <c r="C46" s="6">
        <v>630618</v>
      </c>
      <c r="D46" s="6">
        <v>630276</v>
      </c>
      <c r="E46" s="6">
        <v>342</v>
      </c>
    </row>
    <row r="47" spans="1:5" ht="15" x14ac:dyDescent="0.25">
      <c r="A47" s="5" t="s">
        <v>47</v>
      </c>
      <c r="B47" s="6">
        <v>645541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953677</v>
      </c>
      <c r="C48" s="6">
        <v>451266</v>
      </c>
      <c r="D48" s="6">
        <v>380076</v>
      </c>
      <c r="E48" s="6">
        <v>71190</v>
      </c>
    </row>
    <row r="49" spans="1:5" ht="15" x14ac:dyDescent="0.25">
      <c r="A49" s="5" t="s">
        <v>49</v>
      </c>
      <c r="B49" s="6">
        <v>2741703</v>
      </c>
      <c r="C49" s="6">
        <v>796559</v>
      </c>
      <c r="D49" s="6">
        <v>755486</v>
      </c>
      <c r="E49" s="6">
        <v>41073</v>
      </c>
    </row>
    <row r="50" spans="1:5" ht="15" x14ac:dyDescent="0.25">
      <c r="A50" s="5" t="s">
        <v>50</v>
      </c>
      <c r="B50" s="6">
        <v>1265467</v>
      </c>
      <c r="C50" s="6">
        <v>395156</v>
      </c>
      <c r="D50" s="6" t="s">
        <v>8</v>
      </c>
      <c r="E50" s="6">
        <v>395156</v>
      </c>
    </row>
    <row r="51" spans="1:5" ht="15" x14ac:dyDescent="0.25">
      <c r="A51" s="5" t="s">
        <v>51</v>
      </c>
      <c r="B51" s="6">
        <v>308248</v>
      </c>
      <c r="C51" s="6">
        <v>69290</v>
      </c>
      <c r="D51" s="6">
        <v>69290</v>
      </c>
      <c r="E51" s="6">
        <v>0</v>
      </c>
    </row>
    <row r="52" spans="1:5" ht="15" x14ac:dyDescent="0.25">
      <c r="A52" s="5" t="s">
        <v>52</v>
      </c>
      <c r="B52" s="6">
        <v>1259686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105968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1604631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4285311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299796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178890</v>
      </c>
      <c r="C57" s="6">
        <v>58948</v>
      </c>
      <c r="D57" s="6">
        <v>0</v>
      </c>
      <c r="E57" s="6">
        <v>58948</v>
      </c>
    </row>
    <row r="58" spans="1:5" ht="15" x14ac:dyDescent="0.25">
      <c r="A58" s="5" t="s">
        <v>58</v>
      </c>
      <c r="B58" s="6">
        <v>24528</v>
      </c>
      <c r="C58" s="6">
        <v>9958</v>
      </c>
      <c r="D58" s="6" t="s">
        <v>8</v>
      </c>
      <c r="E58" s="6">
        <v>9958</v>
      </c>
    </row>
    <row r="59" spans="1:5" ht="15" x14ac:dyDescent="0.25">
      <c r="A59" s="5" t="s">
        <v>59</v>
      </c>
      <c r="B59" s="6">
        <v>1053905</v>
      </c>
      <c r="C59" s="6" t="s">
        <v>8</v>
      </c>
      <c r="D59" s="6" t="s">
        <v>8</v>
      </c>
      <c r="E59" s="6" t="s">
        <v>8</v>
      </c>
    </row>
    <row r="60" spans="1:5" ht="15" x14ac:dyDescent="0.25">
      <c r="A60" s="5" t="s">
        <v>60</v>
      </c>
      <c r="B60" s="6">
        <v>1783138</v>
      </c>
      <c r="C60" s="6">
        <v>579950</v>
      </c>
      <c r="D60" s="6">
        <v>566816</v>
      </c>
      <c r="E60" s="6">
        <v>13134</v>
      </c>
    </row>
    <row r="61" spans="1:5" ht="15" x14ac:dyDescent="0.25">
      <c r="A61" s="5" t="s">
        <v>61</v>
      </c>
      <c r="B61" s="6">
        <v>540782</v>
      </c>
      <c r="C61" s="6">
        <v>168038</v>
      </c>
      <c r="D61" s="6">
        <v>168038</v>
      </c>
      <c r="E61" s="6">
        <v>0</v>
      </c>
    </row>
    <row r="62" spans="1:5" ht="15" x14ac:dyDescent="0.25">
      <c r="A62" s="5" t="s">
        <v>62</v>
      </c>
      <c r="B62" s="6">
        <v>1191001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59067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76672124</v>
      </c>
      <c r="C64" s="8">
        <f>SUM(C8:C63)</f>
        <v>15628063</v>
      </c>
      <c r="D64" s="8">
        <f>SUM(D8:D63)</f>
        <v>12263229</v>
      </c>
      <c r="E64" s="8">
        <f>SUM(E8:E63)</f>
        <v>3364834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</sheetData>
  <conditionalFormatting sqref="A8:E64">
    <cfRule type="expression" dxfId="78" priority="1">
      <formula>MOD(ROW(),2)&lt;&gt;0</formula>
    </cfRule>
  </conditionalFormatting>
  <pageMargins left="0.5" right="0.5" top="0.5" bottom="0.5" header="0.5" footer="0.1"/>
  <pageSetup scale="94" fitToHeight="0" orientation="portrait" r:id="rId1"/>
  <headerFooter>
    <oddFooter>&amp;L&amp;"-,Regular"&amp;7Created On: Thursday, August 1, 2019 9:22 AM&amp;R&amp;"-,Regular"&amp;7Page : &amp;"-,Regular"&amp;7&amp;P&amp;"-,Regular"&amp;7 of &amp;"-,Regular"&amp;7&amp;N</oddFooter>
    <evenFooter>&amp;L&amp;"-,Regular"&amp;7Created On: Thursday, August 1, 2019 9:22 AM&amp;R&amp;"-,Regular"&amp;7Page : &amp;"-,Regular"&amp;7&amp;P&amp;"-,Regular"&amp;7 of &amp;"-,Regular"&amp;7&amp;N</evenFooter>
    <firstFooter>&amp;L&amp;"-,Regular"&amp;7Created On: Thursday, August 1, 2019 9:22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A670-9719-43A7-9D51-B01B7A1BBB18}">
  <sheetPr>
    <pageSetUpPr fitToPage="1"/>
  </sheetPr>
  <dimension ref="A1:E81"/>
  <sheetViews>
    <sheetView workbookViewId="0">
      <pane ySplit="7" topLeftCell="A38" activePane="bottomLeft" state="frozenSplit"/>
      <selection activeCell="C44" sqref="C44"/>
      <selection pane="bottomLeft" activeCell="C44" sqref="C44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84</v>
      </c>
      <c r="B2" s="2"/>
      <c r="C2" s="2"/>
      <c r="D2" s="2"/>
      <c r="E2" s="2"/>
    </row>
    <row r="3" spans="1:5" ht="15" x14ac:dyDescent="0.25">
      <c r="A3" s="2"/>
      <c r="B3" s="2"/>
      <c r="C3" s="11" t="s">
        <v>83</v>
      </c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1024662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198425</v>
      </c>
      <c r="C9" s="6">
        <v>44328</v>
      </c>
      <c r="D9" s="6">
        <v>44304</v>
      </c>
      <c r="E9" s="6">
        <v>24</v>
      </c>
    </row>
    <row r="10" spans="1:5" ht="15" x14ac:dyDescent="0.25">
      <c r="A10" s="5" t="s">
        <v>10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1870574</v>
      </c>
      <c r="C11" s="6">
        <v>414373</v>
      </c>
      <c r="D11" s="6">
        <v>106605</v>
      </c>
      <c r="E11" s="6">
        <v>307768</v>
      </c>
    </row>
    <row r="12" spans="1:5" ht="15" x14ac:dyDescent="0.25">
      <c r="A12" s="5" t="s">
        <v>12</v>
      </c>
      <c r="B12" s="6">
        <v>925643</v>
      </c>
      <c r="C12" s="6">
        <v>292602</v>
      </c>
      <c r="D12" s="6">
        <v>292349</v>
      </c>
      <c r="E12" s="6">
        <v>253</v>
      </c>
    </row>
    <row r="13" spans="1:5" ht="15" x14ac:dyDescent="0.25">
      <c r="A13" s="5" t="s">
        <v>13</v>
      </c>
      <c r="B13" s="6">
        <v>13081202</v>
      </c>
      <c r="C13" s="6">
        <v>3823273</v>
      </c>
      <c r="D13" s="6">
        <v>3823273</v>
      </c>
      <c r="E13" s="6">
        <v>0</v>
      </c>
    </row>
    <row r="14" spans="1:5" ht="15" x14ac:dyDescent="0.25">
      <c r="A14" s="5" t="s">
        <v>14</v>
      </c>
      <c r="B14" s="6">
        <v>1282265</v>
      </c>
      <c r="C14" s="6">
        <v>411009</v>
      </c>
      <c r="D14" s="6">
        <v>404471</v>
      </c>
      <c r="E14" s="6">
        <v>6538</v>
      </c>
    </row>
    <row r="15" spans="1:5" ht="15" x14ac:dyDescent="0.25">
      <c r="A15" s="5" t="s">
        <v>15</v>
      </c>
      <c r="B15" s="6">
        <v>927503</v>
      </c>
      <c r="C15" s="6">
        <v>246015</v>
      </c>
      <c r="D15" s="6">
        <v>224785</v>
      </c>
      <c r="E15" s="6">
        <v>21230</v>
      </c>
    </row>
    <row r="16" spans="1:5" ht="15" x14ac:dyDescent="0.25">
      <c r="A16" s="5" t="s">
        <v>16</v>
      </c>
      <c r="B16" s="6">
        <v>209887</v>
      </c>
      <c r="C16" s="6">
        <v>62284</v>
      </c>
      <c r="D16" s="6">
        <v>10034</v>
      </c>
      <c r="E16" s="6">
        <v>52250</v>
      </c>
    </row>
    <row r="17" spans="1:5" ht="15" x14ac:dyDescent="0.25">
      <c r="A17" s="5" t="s">
        <v>17</v>
      </c>
      <c r="B17" s="6">
        <v>260704</v>
      </c>
      <c r="C17" s="6">
        <v>110199</v>
      </c>
      <c r="D17" s="6">
        <v>69662</v>
      </c>
      <c r="E17" s="6">
        <v>40537</v>
      </c>
    </row>
    <row r="18" spans="1:5" ht="15" x14ac:dyDescent="0.25">
      <c r="A18" s="5" t="s">
        <v>18</v>
      </c>
      <c r="B18" s="6">
        <v>3931883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1956021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36260</v>
      </c>
      <c r="C20" s="6">
        <v>3995</v>
      </c>
      <c r="D20" s="6" t="s">
        <v>8</v>
      </c>
      <c r="E20" s="6">
        <v>3995</v>
      </c>
    </row>
    <row r="21" spans="1:5" ht="15" x14ac:dyDescent="0.25">
      <c r="A21" s="5" t="s">
        <v>21</v>
      </c>
      <c r="B21" s="6">
        <v>330439</v>
      </c>
      <c r="C21" s="6">
        <v>120403</v>
      </c>
      <c r="D21" s="6">
        <v>22744</v>
      </c>
      <c r="E21" s="6">
        <v>97659</v>
      </c>
    </row>
    <row r="22" spans="1:5" ht="15" x14ac:dyDescent="0.25">
      <c r="A22" s="5" t="s">
        <v>22</v>
      </c>
      <c r="B22" s="6">
        <v>293894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2837020</v>
      </c>
      <c r="C23" s="6">
        <v>720375</v>
      </c>
      <c r="D23" s="6">
        <v>613844</v>
      </c>
      <c r="E23" s="6">
        <v>106531</v>
      </c>
    </row>
    <row r="24" spans="1:5" ht="15" x14ac:dyDescent="0.25">
      <c r="A24" s="5" t="s">
        <v>24</v>
      </c>
      <c r="B24" s="6">
        <v>1350223</v>
      </c>
      <c r="C24" s="6">
        <v>314421</v>
      </c>
      <c r="D24" s="6">
        <v>314421</v>
      </c>
      <c r="E24" s="6">
        <v>0</v>
      </c>
    </row>
    <row r="25" spans="1:5" ht="15" x14ac:dyDescent="0.25">
      <c r="A25" s="5" t="s">
        <v>25</v>
      </c>
      <c r="B25" s="6">
        <v>603888</v>
      </c>
      <c r="C25" s="6">
        <v>163590</v>
      </c>
      <c r="D25" s="6">
        <v>150142</v>
      </c>
      <c r="E25" s="6">
        <v>13448</v>
      </c>
    </row>
    <row r="26" spans="1:5" ht="15" x14ac:dyDescent="0.25">
      <c r="A26" s="5" t="s">
        <v>26</v>
      </c>
      <c r="B26" s="6">
        <v>373438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1336657</v>
      </c>
      <c r="C27" s="6">
        <v>473576</v>
      </c>
      <c r="D27" s="6">
        <v>473576</v>
      </c>
      <c r="E27" s="6">
        <v>0</v>
      </c>
    </row>
    <row r="28" spans="1:5" ht="15" x14ac:dyDescent="0.25">
      <c r="A28" s="5" t="s">
        <v>28</v>
      </c>
      <c r="B28" s="6">
        <v>1650457</v>
      </c>
      <c r="C28" s="6">
        <v>483884</v>
      </c>
      <c r="D28" s="6">
        <v>483884</v>
      </c>
      <c r="E28" s="6">
        <v>0</v>
      </c>
    </row>
    <row r="29" spans="1:5" ht="15" x14ac:dyDescent="0.25">
      <c r="A29" s="5" t="s">
        <v>29</v>
      </c>
      <c r="B29" s="6">
        <v>256843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1235103</v>
      </c>
      <c r="C30" s="6">
        <v>312481</v>
      </c>
      <c r="D30" s="6">
        <v>312481</v>
      </c>
      <c r="E30" s="6">
        <v>0</v>
      </c>
    </row>
    <row r="31" spans="1:5" ht="15" x14ac:dyDescent="0.25">
      <c r="A31" s="5" t="s">
        <v>31</v>
      </c>
      <c r="B31" s="6">
        <v>1834489</v>
      </c>
      <c r="C31" s="6">
        <v>385266</v>
      </c>
      <c r="D31" s="6">
        <v>0</v>
      </c>
      <c r="E31" s="6">
        <v>385266</v>
      </c>
    </row>
    <row r="32" spans="1:5" ht="15" x14ac:dyDescent="0.25">
      <c r="A32" s="5" t="s">
        <v>32</v>
      </c>
      <c r="B32" s="6">
        <v>2444734</v>
      </c>
      <c r="C32" s="6">
        <v>697940</v>
      </c>
      <c r="D32" s="6">
        <v>638327</v>
      </c>
      <c r="E32" s="6">
        <v>59613</v>
      </c>
    </row>
    <row r="33" spans="1:5" ht="15" x14ac:dyDescent="0.25">
      <c r="A33" s="5" t="s">
        <v>33</v>
      </c>
      <c r="B33" s="6">
        <v>1107289</v>
      </c>
      <c r="C33" s="6">
        <v>207469</v>
      </c>
      <c r="D33" s="6">
        <v>206853</v>
      </c>
      <c r="E33" s="6">
        <v>616</v>
      </c>
    </row>
    <row r="34" spans="1:5" ht="15" x14ac:dyDescent="0.25">
      <c r="A34" s="5" t="s">
        <v>34</v>
      </c>
      <c r="B34" s="6">
        <v>690180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961840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260387</v>
      </c>
      <c r="C36" s="6">
        <v>97926</v>
      </c>
      <c r="D36" s="6">
        <v>97926</v>
      </c>
      <c r="E36" s="6">
        <v>0</v>
      </c>
    </row>
    <row r="37" spans="1:5" ht="15" x14ac:dyDescent="0.25">
      <c r="A37" s="5" t="s">
        <v>37</v>
      </c>
      <c r="B37" s="6">
        <v>1212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247880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600661</v>
      </c>
      <c r="C39" s="6">
        <v>214869</v>
      </c>
      <c r="D39" s="6">
        <v>214869</v>
      </c>
      <c r="E39" s="6">
        <v>0</v>
      </c>
    </row>
    <row r="40" spans="1:5" ht="15" x14ac:dyDescent="0.25">
      <c r="A40" s="5" t="s">
        <v>40</v>
      </c>
      <c r="B40" s="6">
        <v>189480</v>
      </c>
      <c r="C40" s="6">
        <v>55881</v>
      </c>
      <c r="D40" s="6">
        <v>55590</v>
      </c>
      <c r="E40" s="6">
        <v>291</v>
      </c>
    </row>
    <row r="41" spans="1:5" ht="15" x14ac:dyDescent="0.25">
      <c r="A41" s="5" t="s">
        <v>41</v>
      </c>
      <c r="B41" s="6">
        <v>1693994</v>
      </c>
      <c r="C41" s="6">
        <v>567110</v>
      </c>
      <c r="D41" s="6">
        <v>567110</v>
      </c>
      <c r="E41" s="6">
        <v>0</v>
      </c>
    </row>
    <row r="42" spans="1:5" ht="15" x14ac:dyDescent="0.25">
      <c r="A42" s="5" t="s">
        <v>42</v>
      </c>
      <c r="B42" s="6">
        <v>856413</v>
      </c>
      <c r="C42" s="6">
        <v>257678</v>
      </c>
      <c r="D42" s="6">
        <v>257678</v>
      </c>
      <c r="E42" s="6">
        <v>0</v>
      </c>
    </row>
    <row r="43" spans="1:5" ht="15" x14ac:dyDescent="0.25">
      <c r="A43" s="5" t="s">
        <v>43</v>
      </c>
      <c r="B43" s="6">
        <v>6163144</v>
      </c>
      <c r="C43" s="6">
        <v>1936166</v>
      </c>
      <c r="D43" s="6">
        <v>302965</v>
      </c>
      <c r="E43" s="6">
        <v>1633201</v>
      </c>
    </row>
    <row r="44" spans="1:5" ht="15" x14ac:dyDescent="0.25">
      <c r="A44" s="5" t="s">
        <v>44</v>
      </c>
      <c r="B44" s="6">
        <v>2167495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93586</v>
      </c>
      <c r="C45" s="6">
        <v>20724</v>
      </c>
      <c r="D45" s="6">
        <v>19677</v>
      </c>
      <c r="E45" s="6">
        <v>1047</v>
      </c>
    </row>
    <row r="46" spans="1:5" ht="15" x14ac:dyDescent="0.25">
      <c r="A46" s="5" t="s">
        <v>46</v>
      </c>
      <c r="B46" s="6">
        <v>2984748</v>
      </c>
      <c r="C46" s="6">
        <v>622867</v>
      </c>
      <c r="D46" s="6">
        <v>622528</v>
      </c>
      <c r="E46" s="6">
        <v>339</v>
      </c>
    </row>
    <row r="47" spans="1:5" ht="15" x14ac:dyDescent="0.25">
      <c r="A47" s="5" t="s">
        <v>47</v>
      </c>
      <c r="B47" s="6">
        <v>651361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965406</v>
      </c>
      <c r="C48" s="6">
        <v>459175</v>
      </c>
      <c r="D48" s="6">
        <v>386416</v>
      </c>
      <c r="E48" s="6">
        <v>72759</v>
      </c>
    </row>
    <row r="49" spans="1:5" ht="15" x14ac:dyDescent="0.25">
      <c r="A49" s="5" t="s">
        <v>49</v>
      </c>
      <c r="B49" s="6">
        <v>2719810</v>
      </c>
      <c r="C49" s="6">
        <v>791066</v>
      </c>
      <c r="D49" s="6">
        <v>750073</v>
      </c>
      <c r="E49" s="6">
        <v>40993</v>
      </c>
    </row>
    <row r="50" spans="1:5" ht="15" x14ac:dyDescent="0.25">
      <c r="A50" s="5" t="s">
        <v>50</v>
      </c>
      <c r="B50" s="6">
        <v>1266994</v>
      </c>
      <c r="C50" s="6">
        <v>404657</v>
      </c>
      <c r="D50" s="6" t="s">
        <v>8</v>
      </c>
      <c r="E50" s="6">
        <v>404657</v>
      </c>
    </row>
    <row r="51" spans="1:5" ht="15" x14ac:dyDescent="0.25">
      <c r="A51" s="5" t="s">
        <v>51</v>
      </c>
      <c r="B51" s="6">
        <v>309316</v>
      </c>
      <c r="C51" s="6">
        <v>69840</v>
      </c>
      <c r="D51" s="6">
        <v>69840</v>
      </c>
      <c r="E51" s="6">
        <v>0</v>
      </c>
    </row>
    <row r="52" spans="1:5" ht="15" x14ac:dyDescent="0.25">
      <c r="A52" s="5" t="s">
        <v>52</v>
      </c>
      <c r="B52" s="6">
        <v>1259263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105769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1601537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4274020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298184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179154</v>
      </c>
      <c r="C57" s="6">
        <v>59183</v>
      </c>
      <c r="D57" s="6">
        <v>0</v>
      </c>
      <c r="E57" s="6">
        <v>59183</v>
      </c>
    </row>
    <row r="58" spans="1:5" ht="15" x14ac:dyDescent="0.25">
      <c r="A58" s="5" t="s">
        <v>58</v>
      </c>
      <c r="B58" s="6">
        <v>24946</v>
      </c>
      <c r="C58" s="6">
        <v>10265</v>
      </c>
      <c r="D58" s="6" t="s">
        <v>8</v>
      </c>
      <c r="E58" s="6">
        <v>10265</v>
      </c>
    </row>
    <row r="59" spans="1:5" ht="15" x14ac:dyDescent="0.25">
      <c r="A59" s="5" t="s">
        <v>59</v>
      </c>
      <c r="B59" s="6">
        <v>1059761</v>
      </c>
      <c r="C59" s="6" t="s">
        <v>8</v>
      </c>
      <c r="D59" s="6" t="s">
        <v>8</v>
      </c>
      <c r="E59" s="6" t="s">
        <v>8</v>
      </c>
    </row>
    <row r="60" spans="1:5" ht="15" x14ac:dyDescent="0.25">
      <c r="A60" s="5" t="s">
        <v>60</v>
      </c>
      <c r="B60" s="6">
        <v>1783252</v>
      </c>
      <c r="C60" s="6">
        <v>575689</v>
      </c>
      <c r="D60" s="6">
        <v>562028</v>
      </c>
      <c r="E60" s="6">
        <v>13661</v>
      </c>
    </row>
    <row r="61" spans="1:5" ht="15" x14ac:dyDescent="0.25">
      <c r="A61" s="5" t="s">
        <v>61</v>
      </c>
      <c r="B61" s="6">
        <v>540088</v>
      </c>
      <c r="C61" s="6">
        <v>167353</v>
      </c>
      <c r="D61" s="6">
        <v>167353</v>
      </c>
      <c r="E61" s="6">
        <v>0</v>
      </c>
    </row>
    <row r="62" spans="1:5" ht="15" x14ac:dyDescent="0.25">
      <c r="A62" s="5" t="s">
        <v>62</v>
      </c>
      <c r="B62" s="6">
        <v>1191620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59007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76587909</v>
      </c>
      <c r="C64" s="8">
        <f>SUM(C8:C63)</f>
        <v>15597932</v>
      </c>
      <c r="D64" s="8">
        <f>SUM(D8:D63)</f>
        <v>12265808</v>
      </c>
      <c r="E64" s="8">
        <f>SUM(E8:E63)</f>
        <v>3332124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</sheetData>
  <conditionalFormatting sqref="A8:E64">
    <cfRule type="expression" dxfId="77" priority="1">
      <formula>MOD(ROW(),2)&lt;&gt;0</formula>
    </cfRule>
  </conditionalFormatting>
  <pageMargins left="0.5" right="0.5" top="0.5" bottom="0.5" header="0.5" footer="0.1"/>
  <pageSetup scale="94" fitToHeight="0" orientation="portrait" r:id="rId1"/>
  <headerFooter>
    <oddFooter>&amp;L&amp;"-,Regular"&amp;7Created On: Thursday, August 1, 2019 9:22 AM&amp;R&amp;"-,Regular"&amp;7Page : &amp;"-,Regular"&amp;7&amp;P&amp;"-,Regular"&amp;7 of &amp;"-,Regular"&amp;7&amp;N</oddFooter>
    <evenFooter>&amp;L&amp;"-,Regular"&amp;7Created On: Thursday, August 1, 2019 9:22 AM&amp;R&amp;"-,Regular"&amp;7Page : &amp;"-,Regular"&amp;7&amp;P&amp;"-,Regular"&amp;7 of &amp;"-,Regular"&amp;7&amp;N</evenFooter>
    <firstFooter>&amp;L&amp;"-,Regular"&amp;7Created On: Thursday, August 1, 2019 9:22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DEF4-F48B-4A56-BDE9-82432F2EE8AE}">
  <sheetPr>
    <pageSetUpPr fitToPage="1"/>
  </sheetPr>
  <dimension ref="A1:E81"/>
  <sheetViews>
    <sheetView workbookViewId="0">
      <pane ySplit="7" topLeftCell="A46" activePane="bottomLeft" state="frozenSplit"/>
      <selection activeCell="C44" sqref="C44"/>
      <selection pane="bottomLeft" activeCell="C44" sqref="C44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85</v>
      </c>
      <c r="B2" s="2"/>
      <c r="C2" s="2"/>
      <c r="D2" s="2"/>
      <c r="E2" s="2"/>
    </row>
    <row r="3" spans="1:5" ht="15" x14ac:dyDescent="0.25">
      <c r="A3" s="2"/>
      <c r="B3" s="2"/>
      <c r="C3" s="11" t="s">
        <v>83</v>
      </c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1020672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198535</v>
      </c>
      <c r="C9" s="6">
        <v>44653</v>
      </c>
      <c r="D9" s="6">
        <v>44628</v>
      </c>
      <c r="E9" s="6">
        <v>25</v>
      </c>
    </row>
    <row r="10" spans="1:5" ht="15" x14ac:dyDescent="0.25">
      <c r="A10" s="5" t="s">
        <v>10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1868275</v>
      </c>
      <c r="C11" s="6">
        <v>413377</v>
      </c>
      <c r="D11" s="6">
        <v>105782</v>
      </c>
      <c r="E11" s="6">
        <v>307595</v>
      </c>
    </row>
    <row r="12" spans="1:5" ht="15" x14ac:dyDescent="0.25">
      <c r="A12" s="5" t="s">
        <v>12</v>
      </c>
      <c r="B12" s="6">
        <v>920752</v>
      </c>
      <c r="C12" s="6">
        <v>288909</v>
      </c>
      <c r="D12" s="6">
        <v>288507</v>
      </c>
      <c r="E12" s="6">
        <v>402</v>
      </c>
    </row>
    <row r="13" spans="1:5" ht="15" x14ac:dyDescent="0.25">
      <c r="A13" s="5" t="s">
        <v>13</v>
      </c>
      <c r="B13" s="6">
        <v>13008201</v>
      </c>
      <c r="C13" s="6">
        <v>3801552</v>
      </c>
      <c r="D13" s="6">
        <v>3801552</v>
      </c>
      <c r="E13" s="6">
        <v>0</v>
      </c>
    </row>
    <row r="14" spans="1:5" ht="15" x14ac:dyDescent="0.25">
      <c r="A14" s="5" t="s">
        <v>14</v>
      </c>
      <c r="B14" s="6">
        <v>1281495</v>
      </c>
      <c r="C14" s="6">
        <v>411448</v>
      </c>
      <c r="D14" s="6">
        <v>404895</v>
      </c>
      <c r="E14" s="6">
        <v>6553</v>
      </c>
    </row>
    <row r="15" spans="1:5" ht="15" x14ac:dyDescent="0.25">
      <c r="A15" s="5" t="s">
        <v>15</v>
      </c>
      <c r="B15" s="6">
        <v>922726</v>
      </c>
      <c r="C15" s="6">
        <v>246442</v>
      </c>
      <c r="D15" s="6">
        <v>225215</v>
      </c>
      <c r="E15" s="6">
        <v>21227</v>
      </c>
    </row>
    <row r="16" spans="1:5" ht="15" x14ac:dyDescent="0.25">
      <c r="A16" s="5" t="s">
        <v>16</v>
      </c>
      <c r="B16" s="6">
        <v>209914</v>
      </c>
      <c r="C16" s="6">
        <v>62228</v>
      </c>
      <c r="D16" s="6">
        <v>9993</v>
      </c>
      <c r="E16" s="6">
        <v>52235</v>
      </c>
    </row>
    <row r="17" spans="1:5" ht="15" x14ac:dyDescent="0.25">
      <c r="A17" s="5" t="s">
        <v>17</v>
      </c>
      <c r="B17" s="6">
        <v>260422</v>
      </c>
      <c r="C17" s="6">
        <v>109689</v>
      </c>
      <c r="D17" s="6">
        <v>69206</v>
      </c>
      <c r="E17" s="6">
        <v>40483</v>
      </c>
    </row>
    <row r="18" spans="1:5" ht="15" x14ac:dyDescent="0.25">
      <c r="A18" s="5" t="s">
        <v>18</v>
      </c>
      <c r="B18" s="6">
        <v>3882589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1956791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36209</v>
      </c>
      <c r="C20" s="6">
        <v>4038</v>
      </c>
      <c r="D20" s="6" t="s">
        <v>8</v>
      </c>
      <c r="E20" s="6">
        <v>4038</v>
      </c>
    </row>
    <row r="21" spans="1:5" ht="15" x14ac:dyDescent="0.25">
      <c r="A21" s="5" t="s">
        <v>21</v>
      </c>
      <c r="B21" s="6">
        <v>327989</v>
      </c>
      <c r="C21" s="6">
        <v>119145</v>
      </c>
      <c r="D21" s="6">
        <v>22305</v>
      </c>
      <c r="E21" s="6">
        <v>96840</v>
      </c>
    </row>
    <row r="22" spans="1:5" ht="15" x14ac:dyDescent="0.25">
      <c r="A22" s="5" t="s">
        <v>22</v>
      </c>
      <c r="B22" s="6">
        <v>295367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2850842</v>
      </c>
      <c r="C23" s="6">
        <v>725225</v>
      </c>
      <c r="D23" s="6">
        <v>618109</v>
      </c>
      <c r="E23" s="6">
        <v>107116</v>
      </c>
    </row>
    <row r="24" spans="1:5" ht="15" x14ac:dyDescent="0.25">
      <c r="A24" s="5" t="s">
        <v>24</v>
      </c>
      <c r="B24" s="6">
        <v>1333123</v>
      </c>
      <c r="C24" s="6">
        <v>310612</v>
      </c>
      <c r="D24" s="6">
        <v>310612</v>
      </c>
      <c r="E24" s="6">
        <v>0</v>
      </c>
    </row>
    <row r="25" spans="1:5" ht="15" x14ac:dyDescent="0.25">
      <c r="A25" s="5" t="s">
        <v>25</v>
      </c>
      <c r="B25" s="6">
        <v>603493</v>
      </c>
      <c r="C25" s="6">
        <v>164495</v>
      </c>
      <c r="D25" s="6">
        <v>150962</v>
      </c>
      <c r="E25" s="6">
        <v>13533</v>
      </c>
    </row>
    <row r="26" spans="1:5" ht="15" x14ac:dyDescent="0.25">
      <c r="A26" s="5" t="s">
        <v>26</v>
      </c>
      <c r="B26" s="6">
        <v>364986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1333466</v>
      </c>
      <c r="C27" s="6">
        <v>470924</v>
      </c>
      <c r="D27" s="6">
        <v>470924</v>
      </c>
      <c r="E27" s="6">
        <v>0</v>
      </c>
    </row>
    <row r="28" spans="1:5" ht="15" x14ac:dyDescent="0.25">
      <c r="A28" s="5" t="s">
        <v>28</v>
      </c>
      <c r="B28" s="6">
        <v>1647111</v>
      </c>
      <c r="C28" s="6">
        <v>485112</v>
      </c>
      <c r="D28" s="6">
        <v>485112</v>
      </c>
      <c r="E28" s="6">
        <v>0</v>
      </c>
    </row>
    <row r="29" spans="1:5" ht="15" x14ac:dyDescent="0.25">
      <c r="A29" s="5" t="s">
        <v>29</v>
      </c>
      <c r="B29" s="6">
        <v>256936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1229917</v>
      </c>
      <c r="C30" s="6">
        <v>311423</v>
      </c>
      <c r="D30" s="6">
        <v>311423</v>
      </c>
      <c r="E30" s="6">
        <v>0</v>
      </c>
    </row>
    <row r="31" spans="1:5" ht="15" x14ac:dyDescent="0.25">
      <c r="A31" s="5" t="s">
        <v>31</v>
      </c>
      <c r="B31" s="6">
        <v>1848444</v>
      </c>
      <c r="C31" s="6">
        <v>391857</v>
      </c>
      <c r="D31" s="6">
        <v>0</v>
      </c>
      <c r="E31" s="6">
        <v>391857</v>
      </c>
    </row>
    <row r="32" spans="1:5" ht="15" x14ac:dyDescent="0.25">
      <c r="A32" s="5" t="s">
        <v>32</v>
      </c>
      <c r="B32" s="6">
        <v>2437948</v>
      </c>
      <c r="C32" s="6">
        <v>693448</v>
      </c>
      <c r="D32" s="6">
        <v>635722</v>
      </c>
      <c r="E32" s="6">
        <v>57726</v>
      </c>
    </row>
    <row r="33" spans="1:5" ht="15" x14ac:dyDescent="0.25">
      <c r="A33" s="5" t="s">
        <v>33</v>
      </c>
      <c r="B33" s="6">
        <v>1098818</v>
      </c>
      <c r="C33" s="6">
        <v>204765</v>
      </c>
      <c r="D33" s="6">
        <v>204047</v>
      </c>
      <c r="E33" s="6">
        <v>718</v>
      </c>
    </row>
    <row r="34" spans="1:5" ht="15" x14ac:dyDescent="0.25">
      <c r="A34" s="5" t="s">
        <v>34</v>
      </c>
      <c r="B34" s="6">
        <v>687906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964163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260270</v>
      </c>
      <c r="C36" s="6">
        <v>98314</v>
      </c>
      <c r="D36" s="6">
        <v>98314</v>
      </c>
      <c r="E36" s="6">
        <v>0</v>
      </c>
    </row>
    <row r="37" spans="1:5" ht="15" x14ac:dyDescent="0.25">
      <c r="A37" s="5" t="s">
        <v>37</v>
      </c>
      <c r="B37" s="6">
        <v>1400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247273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601011</v>
      </c>
      <c r="C39" s="6">
        <v>215101</v>
      </c>
      <c r="D39" s="6">
        <v>215101</v>
      </c>
      <c r="E39" s="6">
        <v>0</v>
      </c>
    </row>
    <row r="40" spans="1:5" ht="15" x14ac:dyDescent="0.25">
      <c r="A40" s="5" t="s">
        <v>40</v>
      </c>
      <c r="B40" s="6">
        <v>188917</v>
      </c>
      <c r="C40" s="6">
        <v>55651</v>
      </c>
      <c r="D40" s="6">
        <v>55368</v>
      </c>
      <c r="E40" s="6">
        <v>283</v>
      </c>
    </row>
    <row r="41" spans="1:5" ht="15" x14ac:dyDescent="0.25">
      <c r="A41" s="5" t="s">
        <v>41</v>
      </c>
      <c r="B41" s="6">
        <v>1692408</v>
      </c>
      <c r="C41" s="6">
        <v>566732</v>
      </c>
      <c r="D41" s="6">
        <v>566732</v>
      </c>
      <c r="E41" s="6">
        <v>0</v>
      </c>
    </row>
    <row r="42" spans="1:5" ht="15" x14ac:dyDescent="0.25">
      <c r="A42" s="5" t="s">
        <v>42</v>
      </c>
      <c r="B42" s="6">
        <v>849268</v>
      </c>
      <c r="C42" s="6">
        <v>255142</v>
      </c>
      <c r="D42" s="6">
        <v>255142</v>
      </c>
      <c r="E42" s="6">
        <v>0</v>
      </c>
    </row>
    <row r="43" spans="1:5" ht="15" x14ac:dyDescent="0.25">
      <c r="A43" s="5" t="s">
        <v>43</v>
      </c>
      <c r="B43" s="6">
        <v>6162629</v>
      </c>
      <c r="C43" s="6">
        <v>1933789</v>
      </c>
      <c r="D43" s="6">
        <v>302217</v>
      </c>
      <c r="E43" s="6">
        <v>1631572</v>
      </c>
    </row>
    <row r="44" spans="1:5" ht="15" x14ac:dyDescent="0.25">
      <c r="A44" s="5" t="s">
        <v>44</v>
      </c>
      <c r="B44" s="6">
        <v>2166076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94940</v>
      </c>
      <c r="C45" s="6">
        <v>21074</v>
      </c>
      <c r="D45" s="6">
        <v>20029</v>
      </c>
      <c r="E45" s="6">
        <v>1045</v>
      </c>
    </row>
    <row r="46" spans="1:5" ht="15" x14ac:dyDescent="0.25">
      <c r="A46" s="5" t="s">
        <v>46</v>
      </c>
      <c r="B46" s="6">
        <v>2968662</v>
      </c>
      <c r="C46" s="6">
        <v>613597</v>
      </c>
      <c r="D46" s="6">
        <v>613255</v>
      </c>
      <c r="E46" s="6">
        <v>342</v>
      </c>
    </row>
    <row r="47" spans="1:5" ht="15" x14ac:dyDescent="0.25">
      <c r="A47" s="5" t="s">
        <v>47</v>
      </c>
      <c r="B47" s="6">
        <v>653045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959170</v>
      </c>
      <c r="C48" s="6">
        <v>455830</v>
      </c>
      <c r="D48" s="6">
        <v>382941</v>
      </c>
      <c r="E48" s="6">
        <v>72889</v>
      </c>
    </row>
    <row r="49" spans="1:5" ht="15" x14ac:dyDescent="0.25">
      <c r="A49" s="5" t="s">
        <v>49</v>
      </c>
      <c r="B49" s="6">
        <v>2747147</v>
      </c>
      <c r="C49" s="6">
        <v>798037</v>
      </c>
      <c r="D49" s="6">
        <v>756784</v>
      </c>
      <c r="E49" s="6">
        <v>41253</v>
      </c>
    </row>
    <row r="50" spans="1:5" ht="15" x14ac:dyDescent="0.25">
      <c r="A50" s="5" t="s">
        <v>50</v>
      </c>
      <c r="B50" s="6">
        <v>1274306</v>
      </c>
      <c r="C50" s="6">
        <v>409807</v>
      </c>
      <c r="D50" s="6" t="s">
        <v>8</v>
      </c>
      <c r="E50" s="6">
        <v>409807</v>
      </c>
    </row>
    <row r="51" spans="1:5" ht="15" x14ac:dyDescent="0.25">
      <c r="A51" s="5" t="s">
        <v>51</v>
      </c>
      <c r="B51" s="6">
        <v>309440</v>
      </c>
      <c r="C51" s="6">
        <v>69553</v>
      </c>
      <c r="D51" s="6">
        <v>69553</v>
      </c>
      <c r="E51" s="6">
        <v>0</v>
      </c>
    </row>
    <row r="52" spans="1:5" ht="15" x14ac:dyDescent="0.25">
      <c r="A52" s="5" t="s">
        <v>52</v>
      </c>
      <c r="B52" s="6">
        <v>1254084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105999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1581281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4263212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296743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177694</v>
      </c>
      <c r="C57" s="6">
        <v>58404</v>
      </c>
      <c r="D57" s="6">
        <v>0</v>
      </c>
      <c r="E57" s="6">
        <v>58404</v>
      </c>
    </row>
    <row r="58" spans="1:5" ht="15" x14ac:dyDescent="0.25">
      <c r="A58" s="5" t="s">
        <v>58</v>
      </c>
      <c r="B58" s="6">
        <v>25065</v>
      </c>
      <c r="C58" s="6">
        <v>10660</v>
      </c>
      <c r="D58" s="6" t="s">
        <v>8</v>
      </c>
      <c r="E58" s="6">
        <v>10660</v>
      </c>
    </row>
    <row r="59" spans="1:5" ht="15" x14ac:dyDescent="0.25">
      <c r="A59" s="5" t="s">
        <v>59</v>
      </c>
      <c r="B59" s="6">
        <v>1065420</v>
      </c>
      <c r="C59" s="6" t="s">
        <v>8</v>
      </c>
      <c r="D59" s="6" t="s">
        <v>8</v>
      </c>
      <c r="E59" s="6" t="s">
        <v>8</v>
      </c>
    </row>
    <row r="60" spans="1:5" ht="15" x14ac:dyDescent="0.25">
      <c r="A60" s="5" t="s">
        <v>60</v>
      </c>
      <c r="B60" s="6">
        <v>1781994</v>
      </c>
      <c r="C60" s="6">
        <v>575018</v>
      </c>
      <c r="D60" s="6">
        <v>561088</v>
      </c>
      <c r="E60" s="6">
        <v>13930</v>
      </c>
    </row>
    <row r="61" spans="1:5" ht="15" x14ac:dyDescent="0.25">
      <c r="A61" s="5" t="s">
        <v>61</v>
      </c>
      <c r="B61" s="6">
        <v>539313</v>
      </c>
      <c r="C61" s="6">
        <v>167081</v>
      </c>
      <c r="D61" s="6">
        <v>167081</v>
      </c>
      <c r="E61" s="6">
        <v>0</v>
      </c>
    </row>
    <row r="62" spans="1:5" ht="15" x14ac:dyDescent="0.25">
      <c r="A62" s="5" t="s">
        <v>62</v>
      </c>
      <c r="B62" s="6">
        <v>1188074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58687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76388516</v>
      </c>
      <c r="C64" s="8">
        <f>SUM(C8:C63)</f>
        <v>15563132</v>
      </c>
      <c r="D64" s="8">
        <f>SUM(D8:D63)</f>
        <v>12222599</v>
      </c>
      <c r="E64" s="8">
        <f>SUM(E8:E63)</f>
        <v>3340533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</sheetData>
  <conditionalFormatting sqref="A8:E64">
    <cfRule type="expression" dxfId="76" priority="1">
      <formula>MOD(ROW(),2)&lt;&gt;0</formula>
    </cfRule>
  </conditionalFormatting>
  <pageMargins left="0.5" right="0.5" top="0.5" bottom="0.5" header="0.5" footer="0.1"/>
  <pageSetup scale="94" fitToHeight="0" orientation="portrait" r:id="rId1"/>
  <headerFooter>
    <oddFooter>&amp;L&amp;"-,Regular"&amp;7Created On: Thursday, August 1, 2019 9:22 AM&amp;R&amp;"-,Regular"&amp;7Page : &amp;"-,Regular"&amp;7&amp;P&amp;"-,Regular"&amp;7 of &amp;"-,Regular"&amp;7&amp;N</oddFooter>
    <evenFooter>&amp;L&amp;"-,Regular"&amp;7Created On: Thursday, August 1, 2019 9:22 AM&amp;R&amp;"-,Regular"&amp;7Page : &amp;"-,Regular"&amp;7&amp;P&amp;"-,Regular"&amp;7 of &amp;"-,Regular"&amp;7&amp;N</evenFooter>
    <firstFooter>&amp;L&amp;"-,Regular"&amp;7Created On: Thursday, August 1, 2019 9:22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0A53-4548-4534-A478-32E68D54CEAA}">
  <sheetPr>
    <pageSetUpPr fitToPage="1"/>
  </sheetPr>
  <dimension ref="A1:E81"/>
  <sheetViews>
    <sheetView workbookViewId="0">
      <pane ySplit="7" topLeftCell="A39" activePane="bottomLeft" state="frozenSplit"/>
      <selection activeCell="C44" sqref="C44"/>
      <selection pane="bottomLeft" activeCell="C44" sqref="C44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86</v>
      </c>
      <c r="B2" s="2"/>
      <c r="C2" s="2"/>
      <c r="D2" s="2"/>
      <c r="E2" s="2"/>
    </row>
    <row r="3" spans="1:5" ht="15" x14ac:dyDescent="0.25">
      <c r="A3" s="2"/>
      <c r="B3" s="2"/>
      <c r="C3" s="11" t="s">
        <v>83</v>
      </c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1021657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198729</v>
      </c>
      <c r="C9" s="6">
        <v>44930</v>
      </c>
      <c r="D9" s="6">
        <v>44905</v>
      </c>
      <c r="E9" s="6">
        <v>25</v>
      </c>
    </row>
    <row r="10" spans="1:5" ht="15" x14ac:dyDescent="0.25">
      <c r="A10" s="5" t="s">
        <v>10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1864623</v>
      </c>
      <c r="C11" s="6">
        <v>412927</v>
      </c>
      <c r="D11" s="6">
        <v>105049</v>
      </c>
      <c r="E11" s="6">
        <v>307878</v>
      </c>
    </row>
    <row r="12" spans="1:5" ht="15" x14ac:dyDescent="0.25">
      <c r="A12" s="5" t="s">
        <v>12</v>
      </c>
      <c r="B12" s="6">
        <v>917921</v>
      </c>
      <c r="C12" s="6">
        <v>284342</v>
      </c>
      <c r="D12" s="6">
        <v>283961</v>
      </c>
      <c r="E12" s="6">
        <v>381</v>
      </c>
    </row>
    <row r="13" spans="1:5" ht="15" x14ac:dyDescent="0.25">
      <c r="A13" s="5" t="s">
        <v>13</v>
      </c>
      <c r="B13" s="6">
        <v>12874106</v>
      </c>
      <c r="C13" s="6">
        <v>3763860</v>
      </c>
      <c r="D13" s="6">
        <v>3763860</v>
      </c>
      <c r="E13" s="6">
        <v>0</v>
      </c>
    </row>
    <row r="14" spans="1:5" ht="15" x14ac:dyDescent="0.25">
      <c r="A14" s="5" t="s">
        <v>14</v>
      </c>
      <c r="B14" s="6">
        <v>1296301</v>
      </c>
      <c r="C14" s="6">
        <v>409143</v>
      </c>
      <c r="D14" s="6">
        <v>402412</v>
      </c>
      <c r="E14" s="6">
        <v>6731</v>
      </c>
    </row>
    <row r="15" spans="1:5" ht="15" x14ac:dyDescent="0.25">
      <c r="A15" s="5" t="s">
        <v>15</v>
      </c>
      <c r="B15" s="6">
        <v>927265</v>
      </c>
      <c r="C15" s="6">
        <v>248443</v>
      </c>
      <c r="D15" s="6">
        <v>226951</v>
      </c>
      <c r="E15" s="6">
        <v>21492</v>
      </c>
    </row>
    <row r="16" spans="1:5" ht="15" x14ac:dyDescent="0.25">
      <c r="A16" s="5" t="s">
        <v>16</v>
      </c>
      <c r="B16" s="6">
        <v>209755</v>
      </c>
      <c r="C16" s="6">
        <v>62188</v>
      </c>
      <c r="D16" s="6">
        <v>9926</v>
      </c>
      <c r="E16" s="6">
        <v>52262</v>
      </c>
    </row>
    <row r="17" spans="1:5" ht="15" x14ac:dyDescent="0.25">
      <c r="A17" s="5" t="s">
        <v>17</v>
      </c>
      <c r="B17" s="6">
        <v>259746</v>
      </c>
      <c r="C17" s="6">
        <v>108718</v>
      </c>
      <c r="D17" s="6">
        <v>68205</v>
      </c>
      <c r="E17" s="6">
        <v>40513</v>
      </c>
    </row>
    <row r="18" spans="1:5" ht="15" x14ac:dyDescent="0.25">
      <c r="A18" s="5" t="s">
        <v>18</v>
      </c>
      <c r="B18" s="6">
        <v>3852558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1957737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35905</v>
      </c>
      <c r="C20" s="6">
        <v>4032</v>
      </c>
      <c r="D20" s="6" t="s">
        <v>8</v>
      </c>
      <c r="E20" s="6">
        <v>4032</v>
      </c>
    </row>
    <row r="21" spans="1:5" ht="15" x14ac:dyDescent="0.25">
      <c r="A21" s="5" t="s">
        <v>21</v>
      </c>
      <c r="B21" s="6">
        <v>324002</v>
      </c>
      <c r="C21" s="6">
        <v>117546</v>
      </c>
      <c r="D21" s="6">
        <v>21859</v>
      </c>
      <c r="E21" s="6">
        <v>95687</v>
      </c>
    </row>
    <row r="22" spans="1:5" ht="15" x14ac:dyDescent="0.25">
      <c r="A22" s="5" t="s">
        <v>22</v>
      </c>
      <c r="B22" s="6">
        <v>296090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2827783</v>
      </c>
      <c r="C23" s="6">
        <v>717537</v>
      </c>
      <c r="D23" s="6">
        <v>610604</v>
      </c>
      <c r="E23" s="6">
        <v>106933</v>
      </c>
    </row>
    <row r="24" spans="1:5" ht="15" x14ac:dyDescent="0.25">
      <c r="A24" s="5" t="s">
        <v>24</v>
      </c>
      <c r="B24" s="6">
        <v>1310854</v>
      </c>
      <c r="C24" s="6">
        <v>305782</v>
      </c>
      <c r="D24" s="6">
        <v>305782</v>
      </c>
      <c r="E24" s="6">
        <v>0</v>
      </c>
    </row>
    <row r="25" spans="1:5" ht="15" x14ac:dyDescent="0.25">
      <c r="A25" s="5" t="s">
        <v>25</v>
      </c>
      <c r="B25" s="6">
        <v>602532</v>
      </c>
      <c r="C25" s="6">
        <v>165509</v>
      </c>
      <c r="D25" s="6">
        <v>151969</v>
      </c>
      <c r="E25" s="6">
        <v>13540</v>
      </c>
    </row>
    <row r="26" spans="1:5" ht="15" x14ac:dyDescent="0.25">
      <c r="A26" s="5" t="s">
        <v>26</v>
      </c>
      <c r="B26" s="6">
        <v>363414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1328039</v>
      </c>
      <c r="C27" s="6">
        <v>467275</v>
      </c>
      <c r="D27" s="6">
        <v>467275</v>
      </c>
      <c r="E27" s="6">
        <v>0</v>
      </c>
    </row>
    <row r="28" spans="1:5" ht="15" x14ac:dyDescent="0.25">
      <c r="A28" s="5" t="s">
        <v>28</v>
      </c>
      <c r="B28" s="6">
        <v>1638252</v>
      </c>
      <c r="C28" s="6">
        <v>482248</v>
      </c>
      <c r="D28" s="6">
        <v>482248</v>
      </c>
      <c r="E28" s="6">
        <v>0</v>
      </c>
    </row>
    <row r="29" spans="1:5" ht="15" x14ac:dyDescent="0.25">
      <c r="A29" s="5" t="s">
        <v>29</v>
      </c>
      <c r="B29" s="6">
        <v>255517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1218122</v>
      </c>
      <c r="C30" s="6">
        <v>307690</v>
      </c>
      <c r="D30" s="6">
        <v>307690</v>
      </c>
      <c r="E30" s="6">
        <v>0</v>
      </c>
    </row>
    <row r="31" spans="1:5" ht="15" x14ac:dyDescent="0.25">
      <c r="A31" s="5" t="s">
        <v>31</v>
      </c>
      <c r="B31" s="6">
        <v>1807979</v>
      </c>
      <c r="C31" s="6">
        <v>373499</v>
      </c>
      <c r="D31" s="6">
        <v>0</v>
      </c>
      <c r="E31" s="6">
        <v>373499</v>
      </c>
    </row>
    <row r="32" spans="1:5" ht="15" x14ac:dyDescent="0.25">
      <c r="A32" s="5" t="s">
        <v>32</v>
      </c>
      <c r="B32" s="6">
        <v>2437622</v>
      </c>
      <c r="C32" s="6">
        <v>688853</v>
      </c>
      <c r="D32" s="6">
        <v>634323</v>
      </c>
      <c r="E32" s="6">
        <v>54530</v>
      </c>
    </row>
    <row r="33" spans="1:5" ht="15" x14ac:dyDescent="0.25">
      <c r="A33" s="5" t="s">
        <v>33</v>
      </c>
      <c r="B33" s="6">
        <v>1084832</v>
      </c>
      <c r="C33" s="6">
        <v>201427</v>
      </c>
      <c r="D33" s="6">
        <v>200712</v>
      </c>
      <c r="E33" s="6">
        <v>715</v>
      </c>
    </row>
    <row r="34" spans="1:5" ht="15" x14ac:dyDescent="0.25">
      <c r="A34" s="5" t="s">
        <v>34</v>
      </c>
      <c r="B34" s="6">
        <v>683577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961679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258600</v>
      </c>
      <c r="C36" s="6">
        <v>97834</v>
      </c>
      <c r="D36" s="6">
        <v>97834</v>
      </c>
      <c r="E36" s="6">
        <v>0</v>
      </c>
    </row>
    <row r="37" spans="1:5" ht="15" x14ac:dyDescent="0.25">
      <c r="A37" s="5" t="s">
        <v>37</v>
      </c>
      <c r="B37" s="6">
        <v>1416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245882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600837</v>
      </c>
      <c r="C39" s="6">
        <v>214489</v>
      </c>
      <c r="D39" s="6">
        <v>214489</v>
      </c>
      <c r="E39" s="6">
        <v>0</v>
      </c>
    </row>
    <row r="40" spans="1:5" ht="15" x14ac:dyDescent="0.25">
      <c r="A40" s="5" t="s">
        <v>40</v>
      </c>
      <c r="B40" s="6">
        <v>187628</v>
      </c>
      <c r="C40" s="6">
        <v>55188</v>
      </c>
      <c r="D40" s="6">
        <v>54907</v>
      </c>
      <c r="E40" s="6">
        <v>281</v>
      </c>
    </row>
    <row r="41" spans="1:5" ht="15" x14ac:dyDescent="0.25">
      <c r="A41" s="5" t="s">
        <v>41</v>
      </c>
      <c r="B41" s="6">
        <v>1687716</v>
      </c>
      <c r="C41" s="6">
        <v>566209</v>
      </c>
      <c r="D41" s="6">
        <v>566209</v>
      </c>
      <c r="E41" s="6">
        <v>0</v>
      </c>
    </row>
    <row r="42" spans="1:5" ht="15" x14ac:dyDescent="0.25">
      <c r="A42" s="5" t="s">
        <v>42</v>
      </c>
      <c r="B42" s="6">
        <v>838445</v>
      </c>
      <c r="C42" s="6">
        <v>251909</v>
      </c>
      <c r="D42" s="6">
        <v>251909</v>
      </c>
      <c r="E42" s="6">
        <v>0</v>
      </c>
    </row>
    <row r="43" spans="1:5" ht="15" x14ac:dyDescent="0.25">
      <c r="A43" s="5" t="s">
        <v>43</v>
      </c>
      <c r="B43" s="6">
        <v>6156398</v>
      </c>
      <c r="C43" s="6">
        <v>1927826</v>
      </c>
      <c r="D43" s="6">
        <v>301605</v>
      </c>
      <c r="E43" s="6">
        <v>1626221</v>
      </c>
    </row>
    <row r="44" spans="1:5" ht="15" x14ac:dyDescent="0.25">
      <c r="A44" s="5" t="s">
        <v>44</v>
      </c>
      <c r="B44" s="6">
        <v>2159762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93042</v>
      </c>
      <c r="C45" s="6">
        <v>20443</v>
      </c>
      <c r="D45" s="6">
        <v>19426</v>
      </c>
      <c r="E45" s="6">
        <v>1017</v>
      </c>
    </row>
    <row r="46" spans="1:5" ht="15" x14ac:dyDescent="0.25">
      <c r="A46" s="5" t="s">
        <v>46</v>
      </c>
      <c r="B46" s="6">
        <v>2934726</v>
      </c>
      <c r="C46" s="6">
        <v>603026</v>
      </c>
      <c r="D46" s="6">
        <v>602698</v>
      </c>
      <c r="E46" s="6">
        <v>328</v>
      </c>
    </row>
    <row r="47" spans="1:5" ht="15" x14ac:dyDescent="0.25">
      <c r="A47" s="5" t="s">
        <v>47</v>
      </c>
      <c r="B47" s="6">
        <v>647012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948521</v>
      </c>
      <c r="C48" s="6">
        <v>450819</v>
      </c>
      <c r="D48" s="6">
        <v>378024</v>
      </c>
      <c r="E48" s="6">
        <v>72795</v>
      </c>
    </row>
    <row r="49" spans="1:5" ht="15" x14ac:dyDescent="0.25">
      <c r="A49" s="5" t="s">
        <v>49</v>
      </c>
      <c r="B49" s="6">
        <v>2731187</v>
      </c>
      <c r="C49" s="6">
        <v>791111</v>
      </c>
      <c r="D49" s="6">
        <v>750362</v>
      </c>
      <c r="E49" s="6">
        <v>40749</v>
      </c>
    </row>
    <row r="50" spans="1:5" ht="15" x14ac:dyDescent="0.25">
      <c r="A50" s="5" t="s">
        <v>50</v>
      </c>
      <c r="B50" s="6">
        <v>1284209</v>
      </c>
      <c r="C50" s="6">
        <v>419875</v>
      </c>
      <c r="D50" s="6" t="s">
        <v>8</v>
      </c>
      <c r="E50" s="6">
        <v>419875</v>
      </c>
    </row>
    <row r="51" spans="1:5" ht="15" x14ac:dyDescent="0.25">
      <c r="A51" s="5" t="s">
        <v>51</v>
      </c>
      <c r="B51" s="6">
        <v>308690</v>
      </c>
      <c r="C51" s="6">
        <v>68817</v>
      </c>
      <c r="D51" s="6">
        <v>68817</v>
      </c>
      <c r="E51" s="6">
        <v>0</v>
      </c>
    </row>
    <row r="52" spans="1:5" ht="15" x14ac:dyDescent="0.25">
      <c r="A52" s="5" t="s">
        <v>52</v>
      </c>
      <c r="B52" s="6">
        <v>1234824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105484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1578332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4251735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294788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175896</v>
      </c>
      <c r="C57" s="6">
        <v>57625</v>
      </c>
      <c r="D57" s="6">
        <v>0</v>
      </c>
      <c r="E57" s="6">
        <v>57625</v>
      </c>
    </row>
    <row r="58" spans="1:5" ht="15" x14ac:dyDescent="0.25">
      <c r="A58" s="5" t="s">
        <v>58</v>
      </c>
      <c r="B58" s="6">
        <v>24781</v>
      </c>
      <c r="C58" s="6">
        <v>10688</v>
      </c>
      <c r="D58" s="6" t="s">
        <v>8</v>
      </c>
      <c r="E58" s="6">
        <v>10688</v>
      </c>
    </row>
    <row r="59" spans="1:5" ht="15" x14ac:dyDescent="0.25">
      <c r="A59" s="5" t="s">
        <v>59</v>
      </c>
      <c r="B59" s="6">
        <v>1069506</v>
      </c>
      <c r="C59" s="6" t="s">
        <v>8</v>
      </c>
      <c r="D59" s="6" t="s">
        <v>8</v>
      </c>
      <c r="E59" s="6" t="s">
        <v>8</v>
      </c>
    </row>
    <row r="60" spans="1:5" ht="15" x14ac:dyDescent="0.25">
      <c r="A60" s="5" t="s">
        <v>60</v>
      </c>
      <c r="B60" s="6">
        <v>1775614</v>
      </c>
      <c r="C60" s="6">
        <v>570882</v>
      </c>
      <c r="D60" s="6">
        <v>557025</v>
      </c>
      <c r="E60" s="6">
        <v>13857</v>
      </c>
    </row>
    <row r="61" spans="1:5" ht="15" x14ac:dyDescent="0.25">
      <c r="A61" s="5" t="s">
        <v>61</v>
      </c>
      <c r="B61" s="6">
        <v>536762</v>
      </c>
      <c r="C61" s="6">
        <v>165893</v>
      </c>
      <c r="D61" s="6">
        <v>165893</v>
      </c>
      <c r="E61" s="6">
        <v>0</v>
      </c>
    </row>
    <row r="62" spans="1:5" ht="15" x14ac:dyDescent="0.25">
      <c r="A62" s="5" t="s">
        <v>62</v>
      </c>
      <c r="B62" s="6">
        <v>1184947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58109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75959344</v>
      </c>
      <c r="C64" s="8">
        <f>SUM(C8:C63)</f>
        <v>15438583</v>
      </c>
      <c r="D64" s="8">
        <f>SUM(D8:D63)</f>
        <v>12116929</v>
      </c>
      <c r="E64" s="8">
        <f>SUM(E8:E63)</f>
        <v>3321654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</sheetData>
  <conditionalFormatting sqref="A8:E64">
    <cfRule type="expression" dxfId="75" priority="1">
      <formula>MOD(ROW(),2)&lt;&gt;0</formula>
    </cfRule>
  </conditionalFormatting>
  <pageMargins left="0.5" right="0.5" top="0.5" bottom="0.5" header="0.5" footer="0.1"/>
  <pageSetup scale="94" fitToHeight="0" orientation="portrait" r:id="rId1"/>
  <headerFooter>
    <oddFooter>&amp;L&amp;"-,Regular"&amp;7Created On: Thursday, August 1, 2019 9:22 AM&amp;R&amp;"-,Regular"&amp;7Page : &amp;"-,Regular"&amp;7&amp;P&amp;"-,Regular"&amp;7 of &amp;"-,Regular"&amp;7&amp;N</oddFooter>
    <evenFooter>&amp;L&amp;"-,Regular"&amp;7Created On: Thursday, August 1, 2019 9:22 AM&amp;R&amp;"-,Regular"&amp;7Page : &amp;"-,Regular"&amp;7&amp;P&amp;"-,Regular"&amp;7 of &amp;"-,Regular"&amp;7&amp;N</evenFooter>
    <firstFooter>&amp;L&amp;"-,Regular"&amp;7Created On: Thursday, August 1, 2019 9:22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FAD1-4F34-42DF-A317-B162C5EFB85D}">
  <sheetPr>
    <pageSetUpPr fitToPage="1"/>
  </sheetPr>
  <dimension ref="A1:E89"/>
  <sheetViews>
    <sheetView workbookViewId="0">
      <pane ySplit="7" topLeftCell="A56" activePane="bottomLeft" state="frozenSplit"/>
      <selection activeCell="A91" sqref="A91:XFD91"/>
      <selection pane="bottomLeft" activeCell="A7" sqref="A7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89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1019417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205437</v>
      </c>
      <c r="C9" s="6">
        <v>47522</v>
      </c>
      <c r="D9" s="6">
        <v>47520</v>
      </c>
      <c r="E9" s="6">
        <v>2</v>
      </c>
    </row>
    <row r="10" spans="1:5" ht="15" x14ac:dyDescent="0.25">
      <c r="A10" s="5" t="s">
        <v>87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1870925</v>
      </c>
      <c r="C11" s="6">
        <v>413637</v>
      </c>
      <c r="D11" s="6">
        <v>105382</v>
      </c>
      <c r="E11" s="6">
        <v>308255</v>
      </c>
    </row>
    <row r="12" spans="1:5" ht="15" x14ac:dyDescent="0.25">
      <c r="A12" s="5" t="s">
        <v>12</v>
      </c>
      <c r="B12" s="6">
        <v>915127</v>
      </c>
      <c r="C12" s="6">
        <v>280923</v>
      </c>
      <c r="D12" s="6">
        <v>280441</v>
      </c>
      <c r="E12" s="6">
        <v>482</v>
      </c>
    </row>
    <row r="13" spans="1:5" ht="15" x14ac:dyDescent="0.25">
      <c r="A13" s="5" t="s">
        <v>13</v>
      </c>
      <c r="B13" s="6">
        <v>12953106</v>
      </c>
      <c r="C13" s="6">
        <v>3787702</v>
      </c>
      <c r="D13" s="6">
        <v>3787702</v>
      </c>
      <c r="E13" s="6">
        <v>0</v>
      </c>
    </row>
    <row r="14" spans="1:5" ht="15" x14ac:dyDescent="0.25">
      <c r="A14" s="5" t="s">
        <v>14</v>
      </c>
      <c r="B14" s="6">
        <v>1295757</v>
      </c>
      <c r="C14" s="6">
        <v>405756</v>
      </c>
      <c r="D14" s="6">
        <v>398806</v>
      </c>
      <c r="E14" s="6">
        <v>6950</v>
      </c>
    </row>
    <row r="15" spans="1:5" ht="15" x14ac:dyDescent="0.25">
      <c r="A15" s="5" t="s">
        <v>15</v>
      </c>
      <c r="B15" s="6">
        <v>928800</v>
      </c>
      <c r="C15" s="6">
        <v>250696</v>
      </c>
      <c r="D15" s="6">
        <v>229072</v>
      </c>
      <c r="E15" s="6">
        <v>21624</v>
      </c>
    </row>
    <row r="16" spans="1:5" ht="15" x14ac:dyDescent="0.25">
      <c r="A16" s="5" t="s">
        <v>16</v>
      </c>
      <c r="B16" s="6">
        <v>210857</v>
      </c>
      <c r="C16" s="6">
        <v>62684</v>
      </c>
      <c r="D16" s="6">
        <v>10040</v>
      </c>
      <c r="E16" s="6">
        <v>52644</v>
      </c>
    </row>
    <row r="17" spans="1:5" ht="15" x14ac:dyDescent="0.25">
      <c r="A17" s="5" t="s">
        <v>17</v>
      </c>
      <c r="B17" s="6">
        <v>261071</v>
      </c>
      <c r="C17" s="6">
        <v>110308</v>
      </c>
      <c r="D17" s="6">
        <v>68937</v>
      </c>
      <c r="E17" s="6">
        <v>41371</v>
      </c>
    </row>
    <row r="18" spans="1:5" ht="15" x14ac:dyDescent="0.25">
      <c r="A18" s="5" t="s">
        <v>18</v>
      </c>
      <c r="B18" s="6">
        <v>3886256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1984150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36382</v>
      </c>
      <c r="C20" s="6">
        <v>4041</v>
      </c>
      <c r="D20" s="6" t="s">
        <v>8</v>
      </c>
      <c r="E20" s="6">
        <v>4041</v>
      </c>
    </row>
    <row r="21" spans="1:5" ht="15" x14ac:dyDescent="0.25">
      <c r="A21" s="5" t="s">
        <v>21</v>
      </c>
      <c r="B21" s="6">
        <v>322003</v>
      </c>
      <c r="C21" s="6">
        <v>116486</v>
      </c>
      <c r="D21" s="6">
        <v>21627</v>
      </c>
      <c r="E21" s="6">
        <v>94859</v>
      </c>
    </row>
    <row r="22" spans="1:5" ht="15" x14ac:dyDescent="0.25">
      <c r="A22" s="5" t="s">
        <v>22</v>
      </c>
      <c r="B22" s="6">
        <v>299571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2835995</v>
      </c>
      <c r="C23" s="6">
        <v>724881</v>
      </c>
      <c r="D23" s="6">
        <v>617626</v>
      </c>
      <c r="E23" s="6">
        <v>107255</v>
      </c>
    </row>
    <row r="24" spans="1:5" ht="15" x14ac:dyDescent="0.25">
      <c r="A24" s="5" t="s">
        <v>24</v>
      </c>
      <c r="B24" s="6">
        <v>1332154</v>
      </c>
      <c r="C24" s="6">
        <v>304739</v>
      </c>
      <c r="D24" s="6">
        <v>304739</v>
      </c>
      <c r="E24" s="6">
        <v>0</v>
      </c>
    </row>
    <row r="25" spans="1:5" ht="15" x14ac:dyDescent="0.25">
      <c r="A25" s="5" t="s">
        <v>25</v>
      </c>
      <c r="B25" s="6">
        <v>603783</v>
      </c>
      <c r="C25" s="6">
        <v>166288</v>
      </c>
      <c r="D25" s="6">
        <v>152389</v>
      </c>
      <c r="E25" s="6">
        <v>13899</v>
      </c>
    </row>
    <row r="26" spans="1:5" ht="15" x14ac:dyDescent="0.25">
      <c r="A26" s="5" t="s">
        <v>26</v>
      </c>
      <c r="B26" s="6">
        <v>375489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1324040</v>
      </c>
      <c r="C27" s="6">
        <v>464074</v>
      </c>
      <c r="D27" s="6">
        <v>464074</v>
      </c>
      <c r="E27" s="6">
        <v>0</v>
      </c>
    </row>
    <row r="28" spans="1:5" ht="15" x14ac:dyDescent="0.25">
      <c r="A28" s="5" t="s">
        <v>28</v>
      </c>
      <c r="B28" s="6">
        <v>1644548</v>
      </c>
      <c r="C28" s="6">
        <v>484602</v>
      </c>
      <c r="D28" s="6">
        <v>484602</v>
      </c>
      <c r="E28" s="6">
        <v>0</v>
      </c>
    </row>
    <row r="29" spans="1:5" ht="15" x14ac:dyDescent="0.25">
      <c r="A29" s="5" t="s">
        <v>29</v>
      </c>
      <c r="B29" s="6">
        <v>253059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1213505</v>
      </c>
      <c r="C30" s="6">
        <v>306497</v>
      </c>
      <c r="D30" s="6">
        <v>306497</v>
      </c>
      <c r="E30" s="6">
        <v>0</v>
      </c>
    </row>
    <row r="31" spans="1:5" ht="15" x14ac:dyDescent="0.25">
      <c r="A31" s="5" t="s">
        <v>31</v>
      </c>
      <c r="B31" s="6">
        <v>1798421</v>
      </c>
      <c r="C31" s="6">
        <v>354871</v>
      </c>
      <c r="D31" s="6">
        <v>0</v>
      </c>
      <c r="E31" s="6">
        <v>354871</v>
      </c>
    </row>
    <row r="32" spans="1:5" ht="15" x14ac:dyDescent="0.25">
      <c r="A32" s="5" t="s">
        <v>32</v>
      </c>
      <c r="B32" s="6">
        <v>2434780</v>
      </c>
      <c r="C32" s="6">
        <v>686125</v>
      </c>
      <c r="D32" s="6">
        <v>626607</v>
      </c>
      <c r="E32" s="6">
        <v>59518</v>
      </c>
    </row>
    <row r="33" spans="1:5" ht="15" x14ac:dyDescent="0.25">
      <c r="A33" s="5" t="s">
        <v>33</v>
      </c>
      <c r="B33" s="6">
        <v>1107314</v>
      </c>
      <c r="C33" s="6">
        <v>205850</v>
      </c>
      <c r="D33" s="6">
        <v>205091</v>
      </c>
      <c r="E33" s="6">
        <v>759</v>
      </c>
    </row>
    <row r="34" spans="1:5" ht="15" x14ac:dyDescent="0.25">
      <c r="A34" s="5" t="s">
        <v>34</v>
      </c>
      <c r="B34" s="6">
        <v>678980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941393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260463</v>
      </c>
      <c r="C36" s="6">
        <v>98630</v>
      </c>
      <c r="D36" s="6">
        <v>98630</v>
      </c>
      <c r="E36" s="6">
        <v>0</v>
      </c>
    </row>
    <row r="37" spans="1:5" ht="15" x14ac:dyDescent="0.25">
      <c r="A37" s="5" t="s">
        <v>37</v>
      </c>
      <c r="B37" s="6">
        <v>17402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245360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601200</v>
      </c>
      <c r="C39" s="6">
        <v>214714</v>
      </c>
      <c r="D39" s="6">
        <v>214714</v>
      </c>
      <c r="E39" s="6">
        <v>0</v>
      </c>
    </row>
    <row r="40" spans="1:5" ht="15" x14ac:dyDescent="0.25">
      <c r="A40" s="5" t="s">
        <v>40</v>
      </c>
      <c r="B40" s="6">
        <v>187403</v>
      </c>
      <c r="C40" s="6">
        <v>55149</v>
      </c>
      <c r="D40" s="6">
        <v>54872</v>
      </c>
      <c r="E40" s="6">
        <v>277</v>
      </c>
    </row>
    <row r="41" spans="1:5" ht="15" x14ac:dyDescent="0.25">
      <c r="A41" s="5" t="s">
        <v>41</v>
      </c>
      <c r="B41" s="6">
        <v>1690311</v>
      </c>
      <c r="C41" s="6">
        <v>564120</v>
      </c>
      <c r="D41" s="6">
        <v>564120</v>
      </c>
      <c r="E41" s="6">
        <v>0</v>
      </c>
    </row>
    <row r="42" spans="1:5" ht="15" x14ac:dyDescent="0.25">
      <c r="A42" s="5" t="s">
        <v>42</v>
      </c>
      <c r="B42" s="6">
        <v>838548</v>
      </c>
      <c r="C42" s="6">
        <v>251347</v>
      </c>
      <c r="D42" s="6">
        <v>251347</v>
      </c>
      <c r="E42" s="6">
        <v>0</v>
      </c>
    </row>
    <row r="43" spans="1:5" ht="15" x14ac:dyDescent="0.25">
      <c r="A43" s="5" t="s">
        <v>43</v>
      </c>
      <c r="B43" s="6">
        <v>6158161</v>
      </c>
      <c r="C43" s="6">
        <v>1925093</v>
      </c>
      <c r="D43" s="6">
        <v>301455</v>
      </c>
      <c r="E43" s="6">
        <v>1623638</v>
      </c>
    </row>
    <row r="44" spans="1:5" ht="15" x14ac:dyDescent="0.25">
      <c r="A44" s="5" t="s">
        <v>44</v>
      </c>
      <c r="B44" s="6">
        <v>2179965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92213</v>
      </c>
      <c r="C45" s="6">
        <v>20185</v>
      </c>
      <c r="D45" s="6">
        <v>19193</v>
      </c>
      <c r="E45" s="6">
        <v>992</v>
      </c>
    </row>
    <row r="46" spans="1:5" ht="15" x14ac:dyDescent="0.25">
      <c r="A46" s="5" t="s">
        <v>46</v>
      </c>
      <c r="B46" s="6">
        <v>2936429</v>
      </c>
      <c r="C46" s="6">
        <v>601592</v>
      </c>
      <c r="D46" s="6">
        <v>601305</v>
      </c>
      <c r="E46" s="6">
        <v>287</v>
      </c>
    </row>
    <row r="47" spans="1:5" ht="15" x14ac:dyDescent="0.25">
      <c r="A47" s="5" t="s">
        <v>47</v>
      </c>
      <c r="B47" s="6">
        <v>653774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960626</v>
      </c>
      <c r="C48" s="6">
        <v>458091</v>
      </c>
      <c r="D48" s="6">
        <v>383777</v>
      </c>
      <c r="E48" s="6">
        <v>74314</v>
      </c>
    </row>
    <row r="49" spans="1:5" ht="15" x14ac:dyDescent="0.25">
      <c r="A49" s="5" t="s">
        <v>49</v>
      </c>
      <c r="B49" s="6">
        <v>2889531</v>
      </c>
      <c r="C49" s="6">
        <v>787158</v>
      </c>
      <c r="D49" s="6">
        <v>747021</v>
      </c>
      <c r="E49" s="6">
        <v>40137</v>
      </c>
    </row>
    <row r="50" spans="1:5" ht="15" x14ac:dyDescent="0.25">
      <c r="A50" s="5" t="s">
        <v>50</v>
      </c>
      <c r="B50" s="6">
        <v>1273976</v>
      </c>
      <c r="C50" s="6">
        <v>421577</v>
      </c>
      <c r="D50" s="6" t="s">
        <v>8</v>
      </c>
      <c r="E50" s="6">
        <v>421577</v>
      </c>
    </row>
    <row r="51" spans="1:5" ht="15" x14ac:dyDescent="0.25">
      <c r="A51" s="5" t="s">
        <v>51</v>
      </c>
      <c r="B51" s="6">
        <v>308738</v>
      </c>
      <c r="C51" s="6">
        <v>68848</v>
      </c>
      <c r="D51" s="6">
        <v>68848</v>
      </c>
      <c r="E51" s="6">
        <v>0</v>
      </c>
    </row>
    <row r="52" spans="1:5" ht="15" x14ac:dyDescent="0.25">
      <c r="A52" s="5" t="s">
        <v>52</v>
      </c>
      <c r="B52" s="6">
        <v>1256277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105275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1560057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4258552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293397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175819</v>
      </c>
      <c r="C57" s="6">
        <v>57944</v>
      </c>
      <c r="D57" s="6">
        <v>0</v>
      </c>
      <c r="E57" s="6">
        <v>57944</v>
      </c>
    </row>
    <row r="58" spans="1:5" ht="15" x14ac:dyDescent="0.25">
      <c r="A58" s="5" t="s">
        <v>58</v>
      </c>
      <c r="B58" s="6">
        <v>25097</v>
      </c>
      <c r="C58" s="6">
        <v>10924</v>
      </c>
      <c r="D58" s="6" t="s">
        <v>8</v>
      </c>
      <c r="E58" s="6">
        <v>10924</v>
      </c>
    </row>
    <row r="59" spans="1:5" ht="15" x14ac:dyDescent="0.25">
      <c r="A59" s="5" t="s">
        <v>59</v>
      </c>
      <c r="B59" s="6">
        <v>1070855</v>
      </c>
      <c r="C59" s="6">
        <v>0</v>
      </c>
      <c r="D59" s="6">
        <v>0</v>
      </c>
      <c r="E59" s="6">
        <v>0</v>
      </c>
    </row>
    <row r="60" spans="1:5" ht="15" x14ac:dyDescent="0.25">
      <c r="A60" s="5" t="s">
        <v>60</v>
      </c>
      <c r="B60" s="6">
        <v>1773278</v>
      </c>
      <c r="C60" s="6">
        <v>569954</v>
      </c>
      <c r="D60" s="6">
        <v>555955</v>
      </c>
      <c r="E60" s="6">
        <v>13999</v>
      </c>
    </row>
    <row r="61" spans="1:5" ht="15" x14ac:dyDescent="0.25">
      <c r="A61" s="5" t="s">
        <v>61</v>
      </c>
      <c r="B61" s="6">
        <v>536370</v>
      </c>
      <c r="C61" s="6">
        <v>165238</v>
      </c>
      <c r="D61" s="6">
        <v>165238</v>
      </c>
      <c r="E61" s="6">
        <v>0</v>
      </c>
    </row>
    <row r="62" spans="1:5" ht="15" x14ac:dyDescent="0.25">
      <c r="A62" s="5" t="s">
        <v>62</v>
      </c>
      <c r="B62" s="6">
        <v>1186931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57649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76353875</v>
      </c>
      <c r="C64" s="8">
        <f>SUM(C8:C63)</f>
        <v>15448246</v>
      </c>
      <c r="D64" s="8">
        <f>SUM(D8:D63)</f>
        <v>12137627</v>
      </c>
      <c r="E64" s="8">
        <f>SUM(E8:E63)</f>
        <v>3310619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7514-1916-4507-A8D2-E33CCC1B51EC}">
  <sheetPr>
    <pageSetUpPr fitToPage="1"/>
  </sheetPr>
  <dimension ref="A1:E89"/>
  <sheetViews>
    <sheetView workbookViewId="0">
      <pane ySplit="7" topLeftCell="A56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90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1021951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206259</v>
      </c>
      <c r="C9" s="6">
        <v>47883</v>
      </c>
      <c r="D9" s="6">
        <v>47882</v>
      </c>
      <c r="E9" s="6">
        <v>1</v>
      </c>
    </row>
    <row r="10" spans="1:5" ht="15" x14ac:dyDescent="0.25">
      <c r="A10" s="5" t="s">
        <v>87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1873080</v>
      </c>
      <c r="C11" s="6">
        <v>414203</v>
      </c>
      <c r="D11" s="6">
        <v>106007</v>
      </c>
      <c r="E11" s="6">
        <v>308196</v>
      </c>
    </row>
    <row r="12" spans="1:5" ht="15" x14ac:dyDescent="0.25">
      <c r="A12" s="5" t="s">
        <v>12</v>
      </c>
      <c r="B12" s="6">
        <v>914767</v>
      </c>
      <c r="C12" s="6">
        <v>275602</v>
      </c>
      <c r="D12" s="6">
        <v>274810</v>
      </c>
      <c r="E12" s="6">
        <v>792</v>
      </c>
    </row>
    <row r="13" spans="1:5" ht="15" x14ac:dyDescent="0.25">
      <c r="A13" s="5" t="s">
        <v>13</v>
      </c>
      <c r="B13" s="6">
        <v>12895963</v>
      </c>
      <c r="C13" s="6">
        <v>3773620</v>
      </c>
      <c r="D13" s="6">
        <v>3773620</v>
      </c>
      <c r="E13" s="6">
        <v>0</v>
      </c>
    </row>
    <row r="14" spans="1:5" ht="15" x14ac:dyDescent="0.25">
      <c r="A14" s="5" t="s">
        <v>14</v>
      </c>
      <c r="B14" s="6">
        <v>1298991</v>
      </c>
      <c r="C14" s="6">
        <v>410093</v>
      </c>
      <c r="D14" s="6">
        <v>403062</v>
      </c>
      <c r="E14" s="6">
        <v>7031</v>
      </c>
    </row>
    <row r="15" spans="1:5" ht="15" x14ac:dyDescent="0.25">
      <c r="A15" s="5" t="s">
        <v>15</v>
      </c>
      <c r="B15" s="6">
        <v>941173</v>
      </c>
      <c r="C15" s="6">
        <v>254526</v>
      </c>
      <c r="D15" s="6">
        <v>232838</v>
      </c>
      <c r="E15" s="6">
        <v>21688</v>
      </c>
    </row>
    <row r="16" spans="1:5" ht="15" x14ac:dyDescent="0.25">
      <c r="A16" s="5" t="s">
        <v>16</v>
      </c>
      <c r="B16" s="6">
        <v>211280</v>
      </c>
      <c r="C16" s="6">
        <v>62798</v>
      </c>
      <c r="D16" s="6">
        <v>10046</v>
      </c>
      <c r="E16" s="6">
        <v>52752</v>
      </c>
    </row>
    <row r="17" spans="1:5" ht="15" x14ac:dyDescent="0.25">
      <c r="A17" s="5" t="s">
        <v>17</v>
      </c>
      <c r="B17" s="6">
        <v>260790</v>
      </c>
      <c r="C17" s="6">
        <v>109859</v>
      </c>
      <c r="D17" s="6">
        <v>68512</v>
      </c>
      <c r="E17" s="6">
        <v>41347</v>
      </c>
    </row>
    <row r="18" spans="1:5" ht="15" x14ac:dyDescent="0.25">
      <c r="A18" s="5" t="s">
        <v>18</v>
      </c>
      <c r="B18" s="6">
        <v>3850158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1941288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36322</v>
      </c>
      <c r="C20" s="6">
        <v>4039</v>
      </c>
      <c r="D20" s="6" t="s">
        <v>8</v>
      </c>
      <c r="E20" s="6">
        <v>4039</v>
      </c>
    </row>
    <row r="21" spans="1:5" ht="15" x14ac:dyDescent="0.25">
      <c r="A21" s="5" t="s">
        <v>21</v>
      </c>
      <c r="B21" s="6">
        <v>320843</v>
      </c>
      <c r="C21" s="6">
        <v>115454</v>
      </c>
      <c r="D21" s="6">
        <v>21523</v>
      </c>
      <c r="E21" s="6">
        <v>93931</v>
      </c>
    </row>
    <row r="22" spans="1:5" ht="15" x14ac:dyDescent="0.25">
      <c r="A22" s="5" t="s">
        <v>22</v>
      </c>
      <c r="B22" s="6">
        <v>301537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2819278</v>
      </c>
      <c r="C23" s="6">
        <v>718945</v>
      </c>
      <c r="D23" s="6">
        <v>611650</v>
      </c>
      <c r="E23" s="6">
        <v>107295</v>
      </c>
    </row>
    <row r="24" spans="1:5" ht="15" x14ac:dyDescent="0.25">
      <c r="A24" s="5" t="s">
        <v>24</v>
      </c>
      <c r="B24" s="6">
        <v>1320972</v>
      </c>
      <c r="C24" s="6">
        <v>302840</v>
      </c>
      <c r="D24" s="6">
        <v>302840</v>
      </c>
      <c r="E24" s="6">
        <v>0</v>
      </c>
    </row>
    <row r="25" spans="1:5" ht="15" x14ac:dyDescent="0.25">
      <c r="A25" s="5" t="s">
        <v>25</v>
      </c>
      <c r="B25" s="6">
        <v>603495</v>
      </c>
      <c r="C25" s="6">
        <v>167205</v>
      </c>
      <c r="D25" s="6">
        <v>153121</v>
      </c>
      <c r="E25" s="6">
        <v>14084</v>
      </c>
    </row>
    <row r="26" spans="1:5" ht="15" x14ac:dyDescent="0.25">
      <c r="A26" s="5" t="s">
        <v>26</v>
      </c>
      <c r="B26" s="6">
        <v>375289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1320886</v>
      </c>
      <c r="C27" s="6">
        <v>460997</v>
      </c>
      <c r="D27" s="6">
        <v>460997</v>
      </c>
      <c r="E27" s="6">
        <v>0</v>
      </c>
    </row>
    <row r="28" spans="1:5" ht="15" x14ac:dyDescent="0.25">
      <c r="A28" s="5" t="s">
        <v>28</v>
      </c>
      <c r="B28" s="6">
        <v>1646050</v>
      </c>
      <c r="C28" s="6">
        <v>486291</v>
      </c>
      <c r="D28" s="6">
        <v>486291</v>
      </c>
      <c r="E28" s="6">
        <v>0</v>
      </c>
    </row>
    <row r="29" spans="1:5" ht="15" x14ac:dyDescent="0.25">
      <c r="A29" s="5" t="s">
        <v>29</v>
      </c>
      <c r="B29" s="6">
        <v>253084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1218003</v>
      </c>
      <c r="C30" s="6">
        <v>308613</v>
      </c>
      <c r="D30" s="6">
        <v>308613</v>
      </c>
      <c r="E30" s="6">
        <v>0</v>
      </c>
    </row>
    <row r="31" spans="1:5" ht="15" x14ac:dyDescent="0.25">
      <c r="A31" s="5" t="s">
        <v>31</v>
      </c>
      <c r="B31" s="6">
        <v>1758706</v>
      </c>
      <c r="C31" s="6">
        <v>348278</v>
      </c>
      <c r="D31" s="6">
        <v>0</v>
      </c>
      <c r="E31" s="6">
        <v>348278</v>
      </c>
    </row>
    <row r="32" spans="1:5" ht="15" x14ac:dyDescent="0.25">
      <c r="A32" s="5" t="s">
        <v>32</v>
      </c>
      <c r="B32" s="6">
        <v>2435746</v>
      </c>
      <c r="C32" s="6">
        <v>684662</v>
      </c>
      <c r="D32" s="6">
        <v>625175</v>
      </c>
      <c r="E32" s="6">
        <v>59487</v>
      </c>
    </row>
    <row r="33" spans="1:5" ht="15" x14ac:dyDescent="0.25">
      <c r="A33" s="5" t="s">
        <v>33</v>
      </c>
      <c r="B33" s="6">
        <v>1096403</v>
      </c>
      <c r="C33" s="6">
        <v>202648</v>
      </c>
      <c r="D33" s="6">
        <v>201759</v>
      </c>
      <c r="E33" s="6">
        <v>889</v>
      </c>
    </row>
    <row r="34" spans="1:5" ht="15" x14ac:dyDescent="0.25">
      <c r="A34" s="5" t="s">
        <v>34</v>
      </c>
      <c r="B34" s="6">
        <v>678243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943536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258642</v>
      </c>
      <c r="C36" s="6">
        <v>98389</v>
      </c>
      <c r="D36" s="6">
        <v>98389</v>
      </c>
      <c r="E36" s="6">
        <v>0</v>
      </c>
    </row>
    <row r="37" spans="1:5" ht="15" x14ac:dyDescent="0.25">
      <c r="A37" s="5" t="s">
        <v>37</v>
      </c>
      <c r="B37" s="6">
        <v>17244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246589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602322</v>
      </c>
      <c r="C39" s="6">
        <v>214260</v>
      </c>
      <c r="D39" s="6">
        <v>214260</v>
      </c>
      <c r="E39" s="6">
        <v>0</v>
      </c>
    </row>
    <row r="40" spans="1:5" ht="15" x14ac:dyDescent="0.25">
      <c r="A40" s="5" t="s">
        <v>40</v>
      </c>
      <c r="B40" s="6">
        <v>187247</v>
      </c>
      <c r="C40" s="6">
        <v>55119</v>
      </c>
      <c r="D40" s="6">
        <v>54831</v>
      </c>
      <c r="E40" s="6">
        <v>288</v>
      </c>
    </row>
    <row r="41" spans="1:5" ht="15" x14ac:dyDescent="0.25">
      <c r="A41" s="5" t="s">
        <v>41</v>
      </c>
      <c r="B41" s="6">
        <v>1685266</v>
      </c>
      <c r="C41" s="6">
        <v>561470</v>
      </c>
      <c r="D41" s="6">
        <v>561470</v>
      </c>
      <c r="E41" s="6">
        <v>0</v>
      </c>
    </row>
    <row r="42" spans="1:5" ht="15" x14ac:dyDescent="0.25">
      <c r="A42" s="5" t="s">
        <v>42</v>
      </c>
      <c r="B42" s="6">
        <v>835672</v>
      </c>
      <c r="C42" s="6">
        <v>250673</v>
      </c>
      <c r="D42" s="6">
        <v>250673</v>
      </c>
      <c r="E42" s="6">
        <v>0</v>
      </c>
    </row>
    <row r="43" spans="1:5" ht="15" x14ac:dyDescent="0.25">
      <c r="A43" s="5" t="s">
        <v>43</v>
      </c>
      <c r="B43" s="6">
        <v>6158642</v>
      </c>
      <c r="C43" s="6">
        <v>1921610</v>
      </c>
      <c r="D43" s="6">
        <v>300259</v>
      </c>
      <c r="E43" s="6">
        <v>1621351</v>
      </c>
    </row>
    <row r="44" spans="1:5" ht="15" x14ac:dyDescent="0.25">
      <c r="A44" s="5" t="s">
        <v>44</v>
      </c>
      <c r="B44" s="6">
        <v>2184416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93365</v>
      </c>
      <c r="C45" s="6">
        <v>20542</v>
      </c>
      <c r="D45" s="6">
        <v>19521</v>
      </c>
      <c r="E45" s="6">
        <v>1021</v>
      </c>
    </row>
    <row r="46" spans="1:5" ht="15" x14ac:dyDescent="0.25">
      <c r="A46" s="5" t="s">
        <v>46</v>
      </c>
      <c r="B46" s="6">
        <v>2925809</v>
      </c>
      <c r="C46" s="6">
        <v>594833</v>
      </c>
      <c r="D46" s="6">
        <v>594549</v>
      </c>
      <c r="E46" s="6">
        <v>284</v>
      </c>
    </row>
    <row r="47" spans="1:5" ht="15" x14ac:dyDescent="0.25">
      <c r="A47" s="5" t="s">
        <v>47</v>
      </c>
      <c r="B47" s="6">
        <v>655330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956519</v>
      </c>
      <c r="C48" s="6">
        <v>456013</v>
      </c>
      <c r="D48" s="6">
        <v>381146</v>
      </c>
      <c r="E48" s="6">
        <v>74867</v>
      </c>
    </row>
    <row r="49" spans="1:5" ht="15" x14ac:dyDescent="0.25">
      <c r="A49" s="5" t="s">
        <v>49</v>
      </c>
      <c r="B49" s="6">
        <v>2883428</v>
      </c>
      <c r="C49" s="6">
        <v>784058</v>
      </c>
      <c r="D49" s="6">
        <v>744705</v>
      </c>
      <c r="E49" s="6">
        <v>39353</v>
      </c>
    </row>
    <row r="50" spans="1:5" ht="15" x14ac:dyDescent="0.25">
      <c r="A50" s="5" t="s">
        <v>50</v>
      </c>
      <c r="B50" s="6">
        <v>1250705</v>
      </c>
      <c r="C50" s="6">
        <v>413233</v>
      </c>
      <c r="D50" s="6" t="s">
        <v>8</v>
      </c>
      <c r="E50" s="6">
        <v>413233</v>
      </c>
    </row>
    <row r="51" spans="1:5" ht="15" x14ac:dyDescent="0.25">
      <c r="A51" s="5" t="s">
        <v>51</v>
      </c>
      <c r="B51" s="6">
        <v>309924</v>
      </c>
      <c r="C51" s="6">
        <v>69330</v>
      </c>
      <c r="D51" s="6">
        <v>69330</v>
      </c>
      <c r="E51" s="6">
        <v>0</v>
      </c>
    </row>
    <row r="52" spans="1:5" ht="15" x14ac:dyDescent="0.25">
      <c r="A52" s="5" t="s">
        <v>52</v>
      </c>
      <c r="B52" s="6">
        <v>1266260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105274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1497202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4259080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296817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175625</v>
      </c>
      <c r="C57" s="6">
        <v>58129</v>
      </c>
      <c r="D57" s="6">
        <v>0</v>
      </c>
      <c r="E57" s="6">
        <v>58129</v>
      </c>
    </row>
    <row r="58" spans="1:5" ht="15" x14ac:dyDescent="0.25">
      <c r="A58" s="5" t="s">
        <v>58</v>
      </c>
      <c r="B58" s="6">
        <v>25324</v>
      </c>
      <c r="C58" s="6">
        <v>11135</v>
      </c>
      <c r="D58" s="6" t="s">
        <v>8</v>
      </c>
      <c r="E58" s="6">
        <v>11135</v>
      </c>
    </row>
    <row r="59" spans="1:5" ht="15" x14ac:dyDescent="0.25">
      <c r="A59" s="5" t="s">
        <v>59</v>
      </c>
      <c r="B59" s="6">
        <v>1070456</v>
      </c>
      <c r="C59" s="6">
        <v>0</v>
      </c>
      <c r="D59" s="6">
        <v>0</v>
      </c>
      <c r="E59" s="6">
        <v>0</v>
      </c>
    </row>
    <row r="60" spans="1:5" ht="15" x14ac:dyDescent="0.25">
      <c r="A60" s="5" t="s">
        <v>60</v>
      </c>
      <c r="B60" s="6">
        <v>1766725</v>
      </c>
      <c r="C60" s="6">
        <v>566372</v>
      </c>
      <c r="D60" s="6">
        <v>552157</v>
      </c>
      <c r="E60" s="6">
        <v>14215</v>
      </c>
    </row>
    <row r="61" spans="1:5" ht="15" x14ac:dyDescent="0.25">
      <c r="A61" s="5" t="s">
        <v>61</v>
      </c>
      <c r="B61" s="6">
        <v>536985</v>
      </c>
      <c r="C61" s="6">
        <v>164961</v>
      </c>
      <c r="D61" s="6">
        <v>164961</v>
      </c>
      <c r="E61" s="6">
        <v>0</v>
      </c>
    </row>
    <row r="62" spans="1:5" ht="15" x14ac:dyDescent="0.25">
      <c r="A62" s="5" t="s">
        <v>62</v>
      </c>
      <c r="B62" s="6">
        <v>1184828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57709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76065396</v>
      </c>
      <c r="C64" s="8">
        <f>SUM(C8:C63)</f>
        <v>15388683</v>
      </c>
      <c r="D64" s="8">
        <f>SUM(D8:D63)</f>
        <v>12094997</v>
      </c>
      <c r="E64" s="8">
        <f>SUM(E8:E63)</f>
        <v>3293686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3413-E364-4212-8C2C-C32D02C856EE}">
  <sheetPr>
    <pageSetUpPr fitToPage="1"/>
  </sheetPr>
  <dimension ref="A1:E89"/>
  <sheetViews>
    <sheetView workbookViewId="0">
      <pane ySplit="7" topLeftCell="A56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91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1025250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206277</v>
      </c>
      <c r="C9" s="6">
        <v>48272</v>
      </c>
      <c r="D9" s="6">
        <v>48270</v>
      </c>
      <c r="E9" s="6">
        <v>2</v>
      </c>
    </row>
    <row r="10" spans="1:5" ht="15" x14ac:dyDescent="0.25">
      <c r="A10" s="5" t="s">
        <v>87</v>
      </c>
      <c r="B10" s="6">
        <v>27898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1880703</v>
      </c>
      <c r="C11" s="6">
        <v>417074</v>
      </c>
      <c r="D11" s="6">
        <v>106282</v>
      </c>
      <c r="E11" s="6">
        <v>310792</v>
      </c>
    </row>
    <row r="12" spans="1:5" ht="15" x14ac:dyDescent="0.25">
      <c r="A12" s="5" t="s">
        <v>12</v>
      </c>
      <c r="B12" s="6">
        <v>904820</v>
      </c>
      <c r="C12" s="6">
        <v>266173</v>
      </c>
      <c r="D12" s="6">
        <v>265322</v>
      </c>
      <c r="E12" s="6">
        <v>851</v>
      </c>
    </row>
    <row r="13" spans="1:5" ht="15" x14ac:dyDescent="0.25">
      <c r="A13" s="5" t="s">
        <v>13</v>
      </c>
      <c r="B13" s="6">
        <v>12725382</v>
      </c>
      <c r="C13" s="6">
        <v>3733737</v>
      </c>
      <c r="D13" s="6">
        <v>3733737</v>
      </c>
      <c r="E13" s="6">
        <v>0</v>
      </c>
    </row>
    <row r="14" spans="1:5" ht="15" x14ac:dyDescent="0.25">
      <c r="A14" s="5" t="s">
        <v>14</v>
      </c>
      <c r="B14" s="6">
        <v>1300426</v>
      </c>
      <c r="C14" s="6">
        <v>411490</v>
      </c>
      <c r="D14" s="6">
        <v>404538</v>
      </c>
      <c r="E14" s="6">
        <v>6952</v>
      </c>
    </row>
    <row r="15" spans="1:5" ht="15" x14ac:dyDescent="0.25">
      <c r="A15" s="5" t="s">
        <v>15</v>
      </c>
      <c r="B15" s="6">
        <v>936487</v>
      </c>
      <c r="C15" s="6">
        <v>256183</v>
      </c>
      <c r="D15" s="6">
        <v>233395</v>
      </c>
      <c r="E15" s="6">
        <v>22788</v>
      </c>
    </row>
    <row r="16" spans="1:5" ht="15" x14ac:dyDescent="0.25">
      <c r="A16" s="5" t="s">
        <v>16</v>
      </c>
      <c r="B16" s="6">
        <v>211235</v>
      </c>
      <c r="C16" s="6">
        <v>62735</v>
      </c>
      <c r="D16" s="6">
        <v>9984</v>
      </c>
      <c r="E16" s="6">
        <v>52751</v>
      </c>
    </row>
    <row r="17" spans="1:5" ht="15" x14ac:dyDescent="0.25">
      <c r="A17" s="5" t="s">
        <v>17</v>
      </c>
      <c r="B17" s="6">
        <v>260240</v>
      </c>
      <c r="C17" s="6">
        <v>109131</v>
      </c>
      <c r="D17" s="6">
        <v>67651</v>
      </c>
      <c r="E17" s="6">
        <v>41480</v>
      </c>
    </row>
    <row r="18" spans="1:5" ht="15" x14ac:dyDescent="0.25">
      <c r="A18" s="5" t="s">
        <v>18</v>
      </c>
      <c r="B18" s="6">
        <v>3723585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1932732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36128</v>
      </c>
      <c r="C20" s="6">
        <v>4034</v>
      </c>
      <c r="D20" s="6" t="s">
        <v>8</v>
      </c>
      <c r="E20" s="6">
        <v>4034</v>
      </c>
    </row>
    <row r="21" spans="1:5" ht="15" x14ac:dyDescent="0.25">
      <c r="A21" s="5" t="s">
        <v>21</v>
      </c>
      <c r="B21" s="6">
        <v>318337</v>
      </c>
      <c r="C21" s="6">
        <v>114226</v>
      </c>
      <c r="D21" s="6">
        <v>21206</v>
      </c>
      <c r="E21" s="6">
        <v>93020</v>
      </c>
    </row>
    <row r="22" spans="1:5" ht="15" x14ac:dyDescent="0.25">
      <c r="A22" s="5" t="s">
        <v>22</v>
      </c>
      <c r="B22" s="6">
        <v>301897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2784328</v>
      </c>
      <c r="C23" s="6">
        <v>710385</v>
      </c>
      <c r="D23" s="6">
        <v>603602</v>
      </c>
      <c r="E23" s="6">
        <v>106783</v>
      </c>
    </row>
    <row r="24" spans="1:5" ht="15" x14ac:dyDescent="0.25">
      <c r="A24" s="5" t="s">
        <v>24</v>
      </c>
      <c r="B24" s="6">
        <v>1298758</v>
      </c>
      <c r="C24" s="6">
        <v>296719</v>
      </c>
      <c r="D24" s="6">
        <v>296719</v>
      </c>
      <c r="E24" s="6">
        <v>0</v>
      </c>
    </row>
    <row r="25" spans="1:5" ht="15" x14ac:dyDescent="0.25">
      <c r="A25" s="5" t="s">
        <v>25</v>
      </c>
      <c r="B25" s="6">
        <v>604187</v>
      </c>
      <c r="C25" s="6">
        <v>167984</v>
      </c>
      <c r="D25" s="6">
        <v>153533</v>
      </c>
      <c r="E25" s="6">
        <v>14451</v>
      </c>
    </row>
    <row r="26" spans="1:5" ht="15" x14ac:dyDescent="0.25">
      <c r="A26" s="5" t="s">
        <v>26</v>
      </c>
      <c r="B26" s="6">
        <v>374444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1308238</v>
      </c>
      <c r="C27" s="6">
        <v>454781</v>
      </c>
      <c r="D27" s="6">
        <v>454781</v>
      </c>
      <c r="E27" s="6">
        <v>0</v>
      </c>
    </row>
    <row r="28" spans="1:5" ht="15" x14ac:dyDescent="0.25">
      <c r="A28" s="5" t="s">
        <v>28</v>
      </c>
      <c r="B28" s="6">
        <v>1641821</v>
      </c>
      <c r="C28" s="6">
        <v>487635</v>
      </c>
      <c r="D28" s="6">
        <v>487635</v>
      </c>
      <c r="E28" s="6">
        <v>0</v>
      </c>
    </row>
    <row r="29" spans="1:5" ht="15" x14ac:dyDescent="0.25">
      <c r="A29" s="5" t="s">
        <v>29</v>
      </c>
      <c r="B29" s="6">
        <v>251934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1214405</v>
      </c>
      <c r="C30" s="6">
        <v>307932</v>
      </c>
      <c r="D30" s="6">
        <v>307932</v>
      </c>
      <c r="E30" s="6">
        <v>0</v>
      </c>
    </row>
    <row r="31" spans="1:5" ht="15" x14ac:dyDescent="0.25">
      <c r="A31" s="5" t="s">
        <v>31</v>
      </c>
      <c r="B31" s="6">
        <v>1742631</v>
      </c>
      <c r="C31" s="6">
        <v>346875</v>
      </c>
      <c r="D31" s="6">
        <v>0</v>
      </c>
      <c r="E31" s="6">
        <v>346875</v>
      </c>
    </row>
    <row r="32" spans="1:5" ht="15" x14ac:dyDescent="0.25">
      <c r="A32" s="5" t="s">
        <v>32</v>
      </c>
      <c r="B32" s="6">
        <v>2432660</v>
      </c>
      <c r="C32" s="6">
        <v>684366</v>
      </c>
      <c r="D32" s="6">
        <v>625401</v>
      </c>
      <c r="E32" s="6">
        <v>58965</v>
      </c>
    </row>
    <row r="33" spans="1:5" ht="15" x14ac:dyDescent="0.25">
      <c r="A33" s="5" t="s">
        <v>33</v>
      </c>
      <c r="B33" s="6">
        <v>1077132</v>
      </c>
      <c r="C33" s="6">
        <v>197968</v>
      </c>
      <c r="D33" s="6">
        <v>196976</v>
      </c>
      <c r="E33" s="6">
        <v>992</v>
      </c>
    </row>
    <row r="34" spans="1:5" ht="15" x14ac:dyDescent="0.25">
      <c r="A34" s="5" t="s">
        <v>34</v>
      </c>
      <c r="B34" s="6">
        <v>675028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929322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252126</v>
      </c>
      <c r="C36" s="6">
        <v>96177</v>
      </c>
      <c r="D36" s="6">
        <v>96177</v>
      </c>
      <c r="E36" s="6">
        <v>0</v>
      </c>
    </row>
    <row r="37" spans="1:5" ht="15" x14ac:dyDescent="0.25">
      <c r="A37" s="5" t="s">
        <v>37</v>
      </c>
      <c r="B37" s="6">
        <v>16417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245070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600762</v>
      </c>
      <c r="C39" s="6">
        <v>213869</v>
      </c>
      <c r="D39" s="6">
        <v>213869</v>
      </c>
      <c r="E39" s="6">
        <v>0</v>
      </c>
    </row>
    <row r="40" spans="1:5" ht="15" x14ac:dyDescent="0.25">
      <c r="A40" s="5" t="s">
        <v>40</v>
      </c>
      <c r="B40" s="6">
        <v>186728</v>
      </c>
      <c r="C40" s="6">
        <v>55024</v>
      </c>
      <c r="D40" s="6">
        <v>54727</v>
      </c>
      <c r="E40" s="6">
        <v>297</v>
      </c>
    </row>
    <row r="41" spans="1:5" ht="15" x14ac:dyDescent="0.25">
      <c r="A41" s="5" t="s">
        <v>41</v>
      </c>
      <c r="B41" s="6">
        <v>1674135</v>
      </c>
      <c r="C41" s="6">
        <v>555514</v>
      </c>
      <c r="D41" s="6">
        <v>555514</v>
      </c>
      <c r="E41" s="6">
        <v>0</v>
      </c>
    </row>
    <row r="42" spans="1:5" ht="15" x14ac:dyDescent="0.25">
      <c r="A42" s="5" t="s">
        <v>42</v>
      </c>
      <c r="B42" s="6">
        <v>826594</v>
      </c>
      <c r="C42" s="6">
        <v>248307</v>
      </c>
      <c r="D42" s="6">
        <v>248307</v>
      </c>
      <c r="E42" s="6">
        <v>0</v>
      </c>
    </row>
    <row r="43" spans="1:5" ht="15" x14ac:dyDescent="0.25">
      <c r="A43" s="5" t="s">
        <v>43</v>
      </c>
      <c r="B43" s="6">
        <v>6150250</v>
      </c>
      <c r="C43" s="6">
        <v>1915271</v>
      </c>
      <c r="D43" s="6">
        <v>299091</v>
      </c>
      <c r="E43" s="6">
        <v>1616180</v>
      </c>
    </row>
    <row r="44" spans="1:5" ht="15" x14ac:dyDescent="0.25">
      <c r="A44" s="5" t="s">
        <v>44</v>
      </c>
      <c r="B44" s="6">
        <v>2178497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91096</v>
      </c>
      <c r="C45" s="6">
        <v>19872</v>
      </c>
      <c r="D45" s="6">
        <v>18885</v>
      </c>
      <c r="E45" s="6">
        <v>987</v>
      </c>
    </row>
    <row r="46" spans="1:5" ht="15" x14ac:dyDescent="0.25">
      <c r="A46" s="5" t="s">
        <v>46</v>
      </c>
      <c r="B46" s="6">
        <v>2919452</v>
      </c>
      <c r="C46" s="6">
        <v>590989</v>
      </c>
      <c r="D46" s="6">
        <v>590699</v>
      </c>
      <c r="E46" s="6">
        <v>290</v>
      </c>
    </row>
    <row r="47" spans="1:5" ht="15" x14ac:dyDescent="0.25">
      <c r="A47" s="5" t="s">
        <v>47</v>
      </c>
      <c r="B47" s="6">
        <v>646589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947809</v>
      </c>
      <c r="C48" s="6">
        <v>451491</v>
      </c>
      <c r="D48" s="6">
        <v>375958</v>
      </c>
      <c r="E48" s="6">
        <v>75533</v>
      </c>
    </row>
    <row r="49" spans="1:5" ht="15" x14ac:dyDescent="0.25">
      <c r="A49" s="5" t="s">
        <v>49</v>
      </c>
      <c r="B49" s="6">
        <v>2855345</v>
      </c>
      <c r="C49" s="6">
        <v>770564</v>
      </c>
      <c r="D49" s="6">
        <v>731789</v>
      </c>
      <c r="E49" s="6">
        <v>38775</v>
      </c>
    </row>
    <row r="50" spans="1:5" ht="15" x14ac:dyDescent="0.25">
      <c r="A50" s="5" t="s">
        <v>50</v>
      </c>
      <c r="B50" s="6">
        <v>1241794</v>
      </c>
      <c r="C50" s="6">
        <v>411936</v>
      </c>
      <c r="D50" s="6" t="s">
        <v>8</v>
      </c>
      <c r="E50" s="6">
        <v>411936</v>
      </c>
    </row>
    <row r="51" spans="1:5" ht="15" x14ac:dyDescent="0.25">
      <c r="A51" s="5" t="s">
        <v>51</v>
      </c>
      <c r="B51" s="6">
        <v>308518</v>
      </c>
      <c r="C51" s="6">
        <v>68646</v>
      </c>
      <c r="D51" s="6">
        <v>68646</v>
      </c>
      <c r="E51" s="6">
        <v>0</v>
      </c>
    </row>
    <row r="52" spans="1:5" ht="15" x14ac:dyDescent="0.25">
      <c r="A52" s="5" t="s">
        <v>52</v>
      </c>
      <c r="B52" s="6">
        <v>1262242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104669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1496795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4254778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293908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174201</v>
      </c>
      <c r="C57" s="6">
        <v>57473</v>
      </c>
      <c r="D57" s="6">
        <v>0</v>
      </c>
      <c r="E57" s="6">
        <v>57473</v>
      </c>
    </row>
    <row r="58" spans="1:5" ht="15" x14ac:dyDescent="0.25">
      <c r="A58" s="5" t="s">
        <v>58</v>
      </c>
      <c r="B58" s="6">
        <v>25474</v>
      </c>
      <c r="C58" s="6">
        <v>11347</v>
      </c>
      <c r="D58" s="6" t="s">
        <v>8</v>
      </c>
      <c r="E58" s="6">
        <v>11347</v>
      </c>
    </row>
    <row r="59" spans="1:5" ht="15" x14ac:dyDescent="0.25">
      <c r="A59" s="5" t="s">
        <v>59</v>
      </c>
      <c r="B59" s="6">
        <v>1073040</v>
      </c>
      <c r="C59" s="6">
        <v>0</v>
      </c>
      <c r="D59" s="6">
        <v>0</v>
      </c>
      <c r="E59" s="6">
        <v>0</v>
      </c>
    </row>
    <row r="60" spans="1:5" ht="15" x14ac:dyDescent="0.25">
      <c r="A60" s="5" t="s">
        <v>60</v>
      </c>
      <c r="B60" s="6">
        <v>1759640</v>
      </c>
      <c r="C60" s="6">
        <v>561298</v>
      </c>
      <c r="D60" s="6">
        <v>547730</v>
      </c>
      <c r="E60" s="6">
        <v>13568</v>
      </c>
    </row>
    <row r="61" spans="1:5" ht="15" x14ac:dyDescent="0.25">
      <c r="A61" s="5" t="s">
        <v>61</v>
      </c>
      <c r="B61" s="6">
        <v>534034</v>
      </c>
      <c r="C61" s="6">
        <v>163554</v>
      </c>
      <c r="D61" s="6">
        <v>163554</v>
      </c>
      <c r="E61" s="6">
        <v>0</v>
      </c>
    </row>
    <row r="62" spans="1:5" ht="15" x14ac:dyDescent="0.25">
      <c r="A62" s="5" t="s">
        <v>62</v>
      </c>
      <c r="B62" s="6">
        <v>1181756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57513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75485517</v>
      </c>
      <c r="C64" s="8">
        <f>SUM(C8:C63)</f>
        <v>15269032</v>
      </c>
      <c r="D64" s="8">
        <f>SUM(D8:D63)</f>
        <v>11981910</v>
      </c>
      <c r="E64" s="8">
        <f>SUM(E8:E63)</f>
        <v>3287122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06ED-742D-4C0B-A556-F6E5B366FAB4}">
  <sheetPr>
    <pageSetUpPr fitToPage="1"/>
  </sheetPr>
  <dimension ref="A1:E89"/>
  <sheetViews>
    <sheetView workbookViewId="0">
      <pane ySplit="7" topLeftCell="A14" activePane="bottomLeft" state="frozenSplit"/>
      <selection activeCell="A91" sqref="A91:XFD91"/>
      <selection pane="bottomLeft" activeCell="I19" sqref="I19:J19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92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1030845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206088</v>
      </c>
      <c r="C9" s="6">
        <v>48735</v>
      </c>
      <c r="D9" s="6">
        <v>48732</v>
      </c>
      <c r="E9" s="6">
        <v>3</v>
      </c>
    </row>
    <row r="10" spans="1:5" ht="15" x14ac:dyDescent="0.25">
      <c r="A10" s="5" t="s">
        <v>87</v>
      </c>
      <c r="B10" s="6">
        <v>28183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1872908</v>
      </c>
      <c r="C11" s="6">
        <v>416061</v>
      </c>
      <c r="D11" s="6">
        <v>106046</v>
      </c>
      <c r="E11" s="6">
        <v>310015</v>
      </c>
    </row>
    <row r="12" spans="1:5" ht="15" x14ac:dyDescent="0.25">
      <c r="A12" s="5" t="s">
        <v>12</v>
      </c>
      <c r="B12" s="6">
        <v>872212</v>
      </c>
      <c r="C12" s="6">
        <v>269136</v>
      </c>
      <c r="D12" s="6">
        <v>268280</v>
      </c>
      <c r="E12" s="6">
        <v>856</v>
      </c>
    </row>
    <row r="13" spans="1:5" ht="15" x14ac:dyDescent="0.25">
      <c r="A13" s="5" t="s">
        <v>13</v>
      </c>
      <c r="B13" s="6">
        <v>12875160</v>
      </c>
      <c r="C13" s="6">
        <v>3790254</v>
      </c>
      <c r="D13" s="6">
        <v>3790254</v>
      </c>
      <c r="E13" s="6">
        <v>0</v>
      </c>
    </row>
    <row r="14" spans="1:5" ht="15" x14ac:dyDescent="0.25">
      <c r="A14" s="5" t="s">
        <v>14</v>
      </c>
      <c r="B14" s="6">
        <v>1288644</v>
      </c>
      <c r="C14" s="6">
        <v>409565</v>
      </c>
      <c r="D14" s="6">
        <v>402363</v>
      </c>
      <c r="E14" s="6">
        <v>7202</v>
      </c>
    </row>
    <row r="15" spans="1:5" ht="15" x14ac:dyDescent="0.25">
      <c r="A15" s="5" t="s">
        <v>15</v>
      </c>
      <c r="B15" s="6">
        <v>935416</v>
      </c>
      <c r="C15" s="6">
        <v>256847</v>
      </c>
      <c r="D15" s="6">
        <v>233875</v>
      </c>
      <c r="E15" s="6">
        <v>22972</v>
      </c>
    </row>
    <row r="16" spans="1:5" ht="15" x14ac:dyDescent="0.25">
      <c r="A16" s="5" t="s">
        <v>16</v>
      </c>
      <c r="B16" s="6">
        <v>219077</v>
      </c>
      <c r="C16" s="6">
        <v>62623</v>
      </c>
      <c r="D16" s="6">
        <v>9772</v>
      </c>
      <c r="E16" s="6">
        <v>52851</v>
      </c>
    </row>
    <row r="17" spans="1:5" ht="15" x14ac:dyDescent="0.25">
      <c r="A17" s="5" t="s">
        <v>17</v>
      </c>
      <c r="B17" s="6">
        <v>260411</v>
      </c>
      <c r="C17" s="6">
        <v>108584</v>
      </c>
      <c r="D17" s="6">
        <v>67018</v>
      </c>
      <c r="E17" s="6">
        <v>41566</v>
      </c>
    </row>
    <row r="18" spans="1:5" ht="15" x14ac:dyDescent="0.25">
      <c r="A18" s="5" t="s">
        <v>18</v>
      </c>
      <c r="B18" s="6">
        <v>3878529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1942580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36512</v>
      </c>
      <c r="C20" s="6">
        <v>4127</v>
      </c>
      <c r="D20" s="6" t="s">
        <v>8</v>
      </c>
      <c r="E20" s="6">
        <v>4127</v>
      </c>
    </row>
    <row r="21" spans="1:5" ht="15" x14ac:dyDescent="0.25">
      <c r="A21" s="5" t="s">
        <v>21</v>
      </c>
      <c r="B21" s="6">
        <v>317217</v>
      </c>
      <c r="C21" s="6">
        <v>113491</v>
      </c>
      <c r="D21" s="6">
        <v>20999</v>
      </c>
      <c r="E21" s="6">
        <v>92492</v>
      </c>
    </row>
    <row r="22" spans="1:5" ht="15" x14ac:dyDescent="0.25">
      <c r="A22" s="5" t="s">
        <v>22</v>
      </c>
      <c r="B22" s="6">
        <v>303522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2749591</v>
      </c>
      <c r="C23" s="6">
        <v>702914</v>
      </c>
      <c r="D23" s="6">
        <v>596398</v>
      </c>
      <c r="E23" s="6">
        <v>106516</v>
      </c>
    </row>
    <row r="24" spans="1:5" ht="15" x14ac:dyDescent="0.25">
      <c r="A24" s="5" t="s">
        <v>24</v>
      </c>
      <c r="B24" s="6">
        <v>1328932</v>
      </c>
      <c r="C24" s="6">
        <v>303464</v>
      </c>
      <c r="D24" s="6">
        <v>303464</v>
      </c>
      <c r="E24" s="6">
        <v>0</v>
      </c>
    </row>
    <row r="25" spans="1:5" ht="15" x14ac:dyDescent="0.25">
      <c r="A25" s="5" t="s">
        <v>25</v>
      </c>
      <c r="B25" s="6">
        <v>606771</v>
      </c>
      <c r="C25" s="6">
        <v>169110</v>
      </c>
      <c r="D25" s="6">
        <v>154410</v>
      </c>
      <c r="E25" s="6">
        <v>14700</v>
      </c>
    </row>
    <row r="26" spans="1:5" ht="15" x14ac:dyDescent="0.25">
      <c r="A26" s="5" t="s">
        <v>26</v>
      </c>
      <c r="B26" s="6">
        <v>374483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1299471</v>
      </c>
      <c r="C27" s="6">
        <v>451805</v>
      </c>
      <c r="D27" s="6">
        <v>451805</v>
      </c>
      <c r="E27" s="6">
        <v>0</v>
      </c>
    </row>
    <row r="28" spans="1:5" ht="15" x14ac:dyDescent="0.25">
      <c r="A28" s="5" t="s">
        <v>28</v>
      </c>
      <c r="B28" s="6">
        <v>1654528</v>
      </c>
      <c r="C28" s="6">
        <v>494332</v>
      </c>
      <c r="D28" s="6">
        <v>494332</v>
      </c>
      <c r="E28" s="6">
        <v>0</v>
      </c>
    </row>
    <row r="29" spans="1:5" ht="15" x14ac:dyDescent="0.25">
      <c r="A29" s="5" t="s">
        <v>29</v>
      </c>
      <c r="B29" s="6">
        <v>251140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1214367</v>
      </c>
      <c r="C30" s="6">
        <v>308841</v>
      </c>
      <c r="D30" s="6">
        <v>308841</v>
      </c>
      <c r="E30" s="6">
        <v>0</v>
      </c>
    </row>
    <row r="31" spans="1:5" ht="15" x14ac:dyDescent="0.25">
      <c r="A31" s="5" t="s">
        <v>31</v>
      </c>
      <c r="B31" s="6">
        <v>1753049</v>
      </c>
      <c r="C31" s="6">
        <v>346163</v>
      </c>
      <c r="D31" s="6">
        <v>0</v>
      </c>
      <c r="E31" s="6">
        <v>346163</v>
      </c>
    </row>
    <row r="32" spans="1:5" ht="15" x14ac:dyDescent="0.25">
      <c r="A32" s="5" t="s">
        <v>32</v>
      </c>
      <c r="B32" s="6">
        <v>2428592</v>
      </c>
      <c r="C32" s="6">
        <v>684432</v>
      </c>
      <c r="D32" s="6">
        <v>626588</v>
      </c>
      <c r="E32" s="6">
        <v>57844</v>
      </c>
    </row>
    <row r="33" spans="1:5" ht="15" x14ac:dyDescent="0.25">
      <c r="A33" s="5" t="s">
        <v>33</v>
      </c>
      <c r="B33" s="6">
        <v>1097796</v>
      </c>
      <c r="C33" s="6">
        <v>202437</v>
      </c>
      <c r="D33" s="6">
        <v>201489</v>
      </c>
      <c r="E33" s="6">
        <v>948</v>
      </c>
    </row>
    <row r="34" spans="1:5" ht="15" x14ac:dyDescent="0.25">
      <c r="A34" s="5" t="s">
        <v>34</v>
      </c>
      <c r="B34" s="6">
        <v>674804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916574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259669</v>
      </c>
      <c r="C36" s="6">
        <v>99148</v>
      </c>
      <c r="D36" s="6">
        <v>99148</v>
      </c>
      <c r="E36" s="6">
        <v>0</v>
      </c>
    </row>
    <row r="37" spans="1:5" ht="15" x14ac:dyDescent="0.25">
      <c r="A37" s="5" t="s">
        <v>37</v>
      </c>
      <c r="B37" s="6">
        <v>16334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245662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599811</v>
      </c>
      <c r="C39" s="6">
        <v>214196</v>
      </c>
      <c r="D39" s="6">
        <v>214196</v>
      </c>
      <c r="E39" s="6">
        <v>0</v>
      </c>
    </row>
    <row r="40" spans="1:5" ht="15" x14ac:dyDescent="0.25">
      <c r="A40" s="5" t="s">
        <v>40</v>
      </c>
      <c r="B40" s="6">
        <v>186104</v>
      </c>
      <c r="C40" s="6">
        <v>54851</v>
      </c>
      <c r="D40" s="6">
        <v>54553</v>
      </c>
      <c r="E40" s="6">
        <v>298</v>
      </c>
    </row>
    <row r="41" spans="1:5" ht="15" x14ac:dyDescent="0.25">
      <c r="A41" s="5" t="s">
        <v>41</v>
      </c>
      <c r="B41" s="6">
        <v>1667572</v>
      </c>
      <c r="C41" s="6">
        <v>552008</v>
      </c>
      <c r="D41" s="6">
        <v>552008</v>
      </c>
      <c r="E41" s="6">
        <v>0</v>
      </c>
    </row>
    <row r="42" spans="1:5" ht="15" x14ac:dyDescent="0.25">
      <c r="A42" s="5" t="s">
        <v>42</v>
      </c>
      <c r="B42" s="6">
        <v>834585</v>
      </c>
      <c r="C42" s="6">
        <v>251482</v>
      </c>
      <c r="D42" s="6">
        <v>251482</v>
      </c>
      <c r="E42" s="6">
        <v>0</v>
      </c>
    </row>
    <row r="43" spans="1:5" ht="15" x14ac:dyDescent="0.25">
      <c r="A43" s="5" t="s">
        <v>43</v>
      </c>
      <c r="B43" s="6">
        <v>6156470</v>
      </c>
      <c r="C43" s="6">
        <v>1914377</v>
      </c>
      <c r="D43" s="6">
        <v>299840</v>
      </c>
      <c r="E43" s="6">
        <v>1614537</v>
      </c>
    </row>
    <row r="44" spans="1:5" ht="15" x14ac:dyDescent="0.25">
      <c r="A44" s="5" t="s">
        <v>44</v>
      </c>
      <c r="B44" s="6">
        <v>2181676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92554</v>
      </c>
      <c r="C45" s="6">
        <v>20430</v>
      </c>
      <c r="D45" s="6">
        <v>19429</v>
      </c>
      <c r="E45" s="6">
        <v>1001</v>
      </c>
    </row>
    <row r="46" spans="1:5" ht="15" x14ac:dyDescent="0.25">
      <c r="A46" s="5" t="s">
        <v>46</v>
      </c>
      <c r="B46" s="6">
        <v>2900621</v>
      </c>
      <c r="C46" s="6">
        <v>586054</v>
      </c>
      <c r="D46" s="6">
        <v>585763</v>
      </c>
      <c r="E46" s="6">
        <v>291</v>
      </c>
    </row>
    <row r="47" spans="1:5" ht="15" x14ac:dyDescent="0.25">
      <c r="A47" s="5" t="s">
        <v>47</v>
      </c>
      <c r="B47" s="6">
        <v>653027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961729</v>
      </c>
      <c r="C48" s="6">
        <v>460745</v>
      </c>
      <c r="D48" s="6">
        <v>383282</v>
      </c>
      <c r="E48" s="6">
        <v>77463</v>
      </c>
    </row>
    <row r="49" spans="1:5" ht="15" x14ac:dyDescent="0.25">
      <c r="A49" s="5" t="s">
        <v>49</v>
      </c>
      <c r="B49" s="6">
        <v>2866246</v>
      </c>
      <c r="C49" s="6">
        <v>774485</v>
      </c>
      <c r="D49" s="6">
        <v>735754</v>
      </c>
      <c r="E49" s="6">
        <v>38731</v>
      </c>
    </row>
    <row r="50" spans="1:5" ht="15" x14ac:dyDescent="0.25">
      <c r="A50" s="5" t="s">
        <v>50</v>
      </c>
      <c r="B50" s="6">
        <v>1217207</v>
      </c>
      <c r="C50" s="6">
        <v>402604</v>
      </c>
      <c r="D50" s="6" t="s">
        <v>8</v>
      </c>
      <c r="E50" s="6">
        <v>402604</v>
      </c>
    </row>
    <row r="51" spans="1:5" ht="15" x14ac:dyDescent="0.25">
      <c r="A51" s="5" t="s">
        <v>51</v>
      </c>
      <c r="B51" s="6">
        <v>308970</v>
      </c>
      <c r="C51" s="6">
        <v>68866</v>
      </c>
      <c r="D51" s="6">
        <v>68866</v>
      </c>
      <c r="E51" s="6">
        <v>0</v>
      </c>
    </row>
    <row r="52" spans="1:5" ht="15" x14ac:dyDescent="0.25">
      <c r="A52" s="5" t="s">
        <v>52</v>
      </c>
      <c r="B52" s="6">
        <v>1264072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104391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1512716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4254567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292060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174092</v>
      </c>
      <c r="C57" s="6">
        <v>57632</v>
      </c>
      <c r="D57" s="6">
        <v>0</v>
      </c>
      <c r="E57" s="6">
        <v>57632</v>
      </c>
    </row>
    <row r="58" spans="1:5" ht="15" x14ac:dyDescent="0.25">
      <c r="A58" s="5" t="s">
        <v>58</v>
      </c>
      <c r="B58" s="6">
        <v>26666</v>
      </c>
      <c r="C58" s="6">
        <v>12155</v>
      </c>
      <c r="D58" s="6" t="s">
        <v>8</v>
      </c>
      <c r="E58" s="6">
        <v>11155</v>
      </c>
    </row>
    <row r="59" spans="1:5" ht="15" x14ac:dyDescent="0.25">
      <c r="A59" s="5" t="s">
        <v>59</v>
      </c>
      <c r="B59" s="6">
        <v>1073725</v>
      </c>
      <c r="C59" s="6">
        <v>0</v>
      </c>
      <c r="D59" s="6">
        <v>0</v>
      </c>
      <c r="E59" s="6">
        <v>0</v>
      </c>
    </row>
    <row r="60" spans="1:5" ht="15" x14ac:dyDescent="0.25">
      <c r="A60" s="5" t="s">
        <v>60</v>
      </c>
      <c r="B60" s="6">
        <v>1757941</v>
      </c>
      <c r="C60" s="6">
        <v>560323</v>
      </c>
      <c r="D60" s="6">
        <v>546598</v>
      </c>
      <c r="E60" s="6">
        <v>13725</v>
      </c>
    </row>
    <row r="61" spans="1:5" ht="15" x14ac:dyDescent="0.25">
      <c r="A61" s="5" t="s">
        <v>61</v>
      </c>
      <c r="B61" s="6">
        <v>531916</v>
      </c>
      <c r="C61" s="6">
        <v>162893</v>
      </c>
      <c r="D61" s="6">
        <v>162893</v>
      </c>
      <c r="E61" s="6">
        <v>0</v>
      </c>
    </row>
    <row r="62" spans="1:5" ht="15" x14ac:dyDescent="0.25">
      <c r="A62" s="5" t="s">
        <v>62</v>
      </c>
      <c r="B62" s="6">
        <v>1183158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58084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75799027</v>
      </c>
      <c r="C64" s="8">
        <f>SUM(C8:C63)</f>
        <v>15335170</v>
      </c>
      <c r="D64" s="8">
        <f>SUM(D8:D63)</f>
        <v>12058478</v>
      </c>
      <c r="E64" s="8">
        <f>SUM(E8:E63)</f>
        <v>3275692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3FE9-7040-4B02-BE87-3159714E7878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93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1029480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206553</v>
      </c>
      <c r="C9" s="6">
        <v>49465</v>
      </c>
      <c r="D9" s="6">
        <v>49460</v>
      </c>
      <c r="E9" s="6">
        <v>5</v>
      </c>
    </row>
    <row r="10" spans="1:5" ht="15" x14ac:dyDescent="0.25">
      <c r="A10" s="5" t="s">
        <v>87</v>
      </c>
      <c r="B10" s="6">
        <v>28183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1875585</v>
      </c>
      <c r="C11" s="6">
        <v>417955</v>
      </c>
      <c r="D11" s="6">
        <v>106001</v>
      </c>
      <c r="E11" s="6">
        <v>311954</v>
      </c>
    </row>
    <row r="12" spans="1:5" ht="15" x14ac:dyDescent="0.25">
      <c r="A12" s="5" t="s">
        <v>12</v>
      </c>
      <c r="B12" s="6">
        <v>862562</v>
      </c>
      <c r="C12" s="6">
        <v>264626</v>
      </c>
      <c r="D12" s="6">
        <v>263881</v>
      </c>
      <c r="E12" s="6">
        <v>745</v>
      </c>
    </row>
    <row r="13" spans="1:5" ht="15" x14ac:dyDescent="0.25">
      <c r="A13" s="5" t="s">
        <v>13</v>
      </c>
      <c r="B13" s="6">
        <v>12806573</v>
      </c>
      <c r="C13" s="6">
        <v>3778550</v>
      </c>
      <c r="D13" s="6">
        <v>3778548</v>
      </c>
      <c r="E13" s="6">
        <v>2</v>
      </c>
    </row>
    <row r="14" spans="1:5" ht="15" x14ac:dyDescent="0.25">
      <c r="A14" s="5" t="s">
        <v>14</v>
      </c>
      <c r="B14" s="6">
        <v>1274037</v>
      </c>
      <c r="C14" s="6">
        <v>400640</v>
      </c>
      <c r="D14" s="6">
        <v>393453</v>
      </c>
      <c r="E14" s="6">
        <v>7187</v>
      </c>
    </row>
    <row r="15" spans="1:5" ht="15" x14ac:dyDescent="0.25">
      <c r="A15" s="5" t="s">
        <v>15</v>
      </c>
      <c r="B15" s="6">
        <v>941142</v>
      </c>
      <c r="C15" s="6">
        <v>259611</v>
      </c>
      <c r="D15" s="6">
        <v>236522</v>
      </c>
      <c r="E15" s="6">
        <v>23089</v>
      </c>
    </row>
    <row r="16" spans="1:5" ht="15" x14ac:dyDescent="0.25">
      <c r="A16" s="5" t="s">
        <v>16</v>
      </c>
      <c r="B16" s="6">
        <v>218580</v>
      </c>
      <c r="C16" s="6">
        <v>62573</v>
      </c>
      <c r="D16" s="6">
        <v>9702</v>
      </c>
      <c r="E16" s="6">
        <v>52871</v>
      </c>
    </row>
    <row r="17" spans="1:5" ht="15" x14ac:dyDescent="0.25">
      <c r="A17" s="5" t="s">
        <v>17</v>
      </c>
      <c r="B17" s="6">
        <v>261004</v>
      </c>
      <c r="C17" s="6">
        <v>108667</v>
      </c>
      <c r="D17" s="6">
        <v>67073</v>
      </c>
      <c r="E17" s="6">
        <v>41594</v>
      </c>
    </row>
    <row r="18" spans="1:5" ht="15" x14ac:dyDescent="0.25">
      <c r="A18" s="5" t="s">
        <v>18</v>
      </c>
      <c r="B18" s="6">
        <v>3831170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1942727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36437</v>
      </c>
      <c r="C20" s="6">
        <v>4151</v>
      </c>
      <c r="D20" s="6" t="s">
        <v>8</v>
      </c>
      <c r="E20" s="6">
        <v>4151</v>
      </c>
    </row>
    <row r="21" spans="1:5" ht="15" x14ac:dyDescent="0.25">
      <c r="A21" s="5" t="s">
        <v>21</v>
      </c>
      <c r="B21" s="6">
        <v>315744</v>
      </c>
      <c r="C21" s="6">
        <v>113064</v>
      </c>
      <c r="D21" s="6">
        <v>21058</v>
      </c>
      <c r="E21" s="6">
        <v>92006</v>
      </c>
    </row>
    <row r="22" spans="1:5" ht="15" x14ac:dyDescent="0.25">
      <c r="A22" s="5" t="s">
        <v>22</v>
      </c>
      <c r="B22" s="6">
        <v>303763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2716062</v>
      </c>
      <c r="C23" s="6">
        <v>695325</v>
      </c>
      <c r="D23" s="6">
        <v>588527</v>
      </c>
      <c r="E23" s="6">
        <v>106798</v>
      </c>
    </row>
    <row r="24" spans="1:5" ht="15" x14ac:dyDescent="0.25">
      <c r="A24" s="5" t="s">
        <v>24</v>
      </c>
      <c r="B24" s="6">
        <v>1314309</v>
      </c>
      <c r="C24" s="6">
        <v>304042</v>
      </c>
      <c r="D24" s="6">
        <v>304042</v>
      </c>
      <c r="E24" s="6">
        <v>0</v>
      </c>
    </row>
    <row r="25" spans="1:5" ht="15" x14ac:dyDescent="0.25">
      <c r="A25" s="5" t="s">
        <v>25</v>
      </c>
      <c r="B25" s="6">
        <v>602886</v>
      </c>
      <c r="C25" s="6">
        <v>168966</v>
      </c>
      <c r="D25" s="6">
        <v>154137</v>
      </c>
      <c r="E25" s="6">
        <v>14829</v>
      </c>
    </row>
    <row r="26" spans="1:5" ht="15" x14ac:dyDescent="0.25">
      <c r="A26" s="5" t="s">
        <v>26</v>
      </c>
      <c r="B26" s="6">
        <v>372581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1298359</v>
      </c>
      <c r="C27" s="6">
        <v>451771</v>
      </c>
      <c r="D27" s="6">
        <v>451771</v>
      </c>
      <c r="E27" s="6">
        <v>0</v>
      </c>
    </row>
    <row r="28" spans="1:5" ht="15" x14ac:dyDescent="0.25">
      <c r="A28" s="5" t="s">
        <v>28</v>
      </c>
      <c r="B28" s="6">
        <v>1649027</v>
      </c>
      <c r="C28" s="6">
        <v>493404</v>
      </c>
      <c r="D28" s="6">
        <v>493404</v>
      </c>
      <c r="E28" s="6">
        <v>0</v>
      </c>
    </row>
    <row r="29" spans="1:5" ht="15" x14ac:dyDescent="0.25">
      <c r="A29" s="5" t="s">
        <v>29</v>
      </c>
      <c r="B29" s="6">
        <v>250778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1214140</v>
      </c>
      <c r="C30" s="6">
        <v>309524</v>
      </c>
      <c r="D30" s="6">
        <v>309524</v>
      </c>
      <c r="E30" s="6">
        <v>0</v>
      </c>
    </row>
    <row r="31" spans="1:5" ht="15" x14ac:dyDescent="0.25">
      <c r="A31" s="5" t="s">
        <v>31</v>
      </c>
      <c r="B31" s="6">
        <v>1764713</v>
      </c>
      <c r="C31" s="6">
        <v>271885</v>
      </c>
      <c r="D31" s="6">
        <v>0</v>
      </c>
      <c r="E31" s="6">
        <v>271885</v>
      </c>
    </row>
    <row r="32" spans="1:5" ht="15" x14ac:dyDescent="0.25">
      <c r="A32" s="5" t="s">
        <v>32</v>
      </c>
      <c r="B32" s="6">
        <v>2422058</v>
      </c>
      <c r="C32" s="6">
        <v>683634</v>
      </c>
      <c r="D32" s="6">
        <v>628160</v>
      </c>
      <c r="E32" s="6">
        <v>55474</v>
      </c>
    </row>
    <row r="33" spans="1:5" ht="15" x14ac:dyDescent="0.25">
      <c r="A33" s="5" t="s">
        <v>33</v>
      </c>
      <c r="B33" s="6">
        <v>1084321</v>
      </c>
      <c r="C33" s="6">
        <v>199057</v>
      </c>
      <c r="D33" s="6">
        <v>198138</v>
      </c>
      <c r="E33" s="6">
        <v>919</v>
      </c>
    </row>
    <row r="34" spans="1:5" ht="15" x14ac:dyDescent="0.25">
      <c r="A34" s="5" t="s">
        <v>34</v>
      </c>
      <c r="B34" s="6">
        <v>672864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903552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257807</v>
      </c>
      <c r="C36" s="6">
        <v>98633</v>
      </c>
      <c r="D36" s="6">
        <v>98633</v>
      </c>
      <c r="E36" s="6">
        <v>0</v>
      </c>
    </row>
    <row r="37" spans="1:5" ht="15" x14ac:dyDescent="0.25">
      <c r="A37" s="5" t="s">
        <v>37</v>
      </c>
      <c r="B37" s="6">
        <v>15871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244729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594711</v>
      </c>
      <c r="C39" s="6">
        <v>212434</v>
      </c>
      <c r="D39" s="6">
        <v>212434</v>
      </c>
      <c r="E39" s="6">
        <v>0</v>
      </c>
    </row>
    <row r="40" spans="1:5" ht="15" x14ac:dyDescent="0.25">
      <c r="A40" s="5" t="s">
        <v>40</v>
      </c>
      <c r="B40" s="6">
        <v>185826</v>
      </c>
      <c r="C40" s="6">
        <v>54920</v>
      </c>
      <c r="D40" s="6">
        <v>54637</v>
      </c>
      <c r="E40" s="6">
        <v>283</v>
      </c>
    </row>
    <row r="41" spans="1:5" ht="15" x14ac:dyDescent="0.25">
      <c r="A41" s="5" t="s">
        <v>41</v>
      </c>
      <c r="B41" s="6">
        <v>1661294</v>
      </c>
      <c r="C41" s="6">
        <v>551660</v>
      </c>
      <c r="D41" s="6">
        <v>551660</v>
      </c>
      <c r="E41" s="6">
        <v>0</v>
      </c>
    </row>
    <row r="42" spans="1:5" ht="15" x14ac:dyDescent="0.25">
      <c r="A42" s="5" t="s">
        <v>42</v>
      </c>
      <c r="B42" s="6">
        <v>835397</v>
      </c>
      <c r="C42" s="6">
        <v>252671</v>
      </c>
      <c r="D42" s="6">
        <v>252671</v>
      </c>
      <c r="E42" s="6">
        <v>0</v>
      </c>
    </row>
    <row r="43" spans="1:5" ht="15" x14ac:dyDescent="0.25">
      <c r="A43" s="5" t="s">
        <v>43</v>
      </c>
      <c r="B43" s="6">
        <v>6149602</v>
      </c>
      <c r="C43" s="6">
        <v>1911261</v>
      </c>
      <c r="D43" s="6">
        <v>300546</v>
      </c>
      <c r="E43" s="6">
        <v>1610715</v>
      </c>
    </row>
    <row r="44" spans="1:5" ht="15" x14ac:dyDescent="0.25">
      <c r="A44" s="5" t="s">
        <v>44</v>
      </c>
      <c r="B44" s="6">
        <v>2181656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90257</v>
      </c>
      <c r="C45" s="6">
        <v>19716</v>
      </c>
      <c r="D45" s="6">
        <v>18751</v>
      </c>
      <c r="E45" s="6">
        <v>965</v>
      </c>
    </row>
    <row r="46" spans="1:5" ht="15" x14ac:dyDescent="0.25">
      <c r="A46" s="5" t="s">
        <v>46</v>
      </c>
      <c r="B46" s="6">
        <v>2882540</v>
      </c>
      <c r="C46" s="6">
        <v>581018</v>
      </c>
      <c r="D46" s="6">
        <v>580729</v>
      </c>
      <c r="E46" s="6">
        <v>289</v>
      </c>
    </row>
    <row r="47" spans="1:5" ht="15" x14ac:dyDescent="0.25">
      <c r="A47" s="5" t="s">
        <v>47</v>
      </c>
      <c r="B47" s="6">
        <v>649827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956800</v>
      </c>
      <c r="C48" s="6">
        <v>458684</v>
      </c>
      <c r="D48" s="6">
        <v>380477</v>
      </c>
      <c r="E48" s="6">
        <v>78207</v>
      </c>
    </row>
    <row r="49" spans="1:5" ht="15" x14ac:dyDescent="0.25">
      <c r="A49" s="5" t="s">
        <v>49</v>
      </c>
      <c r="B49" s="6">
        <v>2858626</v>
      </c>
      <c r="C49" s="6">
        <v>771881</v>
      </c>
      <c r="D49" s="6">
        <v>733403</v>
      </c>
      <c r="E49" s="6">
        <v>38478</v>
      </c>
    </row>
    <row r="50" spans="1:5" ht="15" x14ac:dyDescent="0.25">
      <c r="A50" s="5" t="s">
        <v>50</v>
      </c>
      <c r="B50" s="6">
        <v>1253229</v>
      </c>
      <c r="C50" s="6">
        <v>410022</v>
      </c>
      <c r="D50" s="6" t="s">
        <v>8</v>
      </c>
      <c r="E50" s="6">
        <v>410022</v>
      </c>
    </row>
    <row r="51" spans="1:5" ht="15" x14ac:dyDescent="0.25">
      <c r="A51" s="5" t="s">
        <v>51</v>
      </c>
      <c r="B51" s="6">
        <v>307307</v>
      </c>
      <c r="C51" s="6">
        <v>68579</v>
      </c>
      <c r="D51" s="6">
        <v>68579</v>
      </c>
      <c r="E51" s="6">
        <v>0</v>
      </c>
    </row>
    <row r="52" spans="1:5" ht="15" x14ac:dyDescent="0.25">
      <c r="A52" s="5" t="s">
        <v>52</v>
      </c>
      <c r="B52" s="6">
        <v>1264623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104100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1505230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4234019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293018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172504</v>
      </c>
      <c r="C57" s="6">
        <v>56993</v>
      </c>
      <c r="D57" s="6">
        <v>0</v>
      </c>
      <c r="E57" s="6">
        <v>56993</v>
      </c>
    </row>
    <row r="58" spans="1:5" ht="15" x14ac:dyDescent="0.25">
      <c r="A58" s="5" t="s">
        <v>58</v>
      </c>
      <c r="B58" s="6">
        <v>26983</v>
      </c>
      <c r="C58" s="6">
        <v>12315</v>
      </c>
      <c r="D58" s="6" t="s">
        <v>8</v>
      </c>
      <c r="E58" s="6">
        <v>12315</v>
      </c>
    </row>
    <row r="59" spans="1:5" ht="15" x14ac:dyDescent="0.25">
      <c r="A59" s="5" t="s">
        <v>59</v>
      </c>
      <c r="B59" s="6">
        <v>1078915</v>
      </c>
      <c r="C59" s="6">
        <v>0</v>
      </c>
      <c r="D59" s="6">
        <v>0</v>
      </c>
      <c r="E59" s="6">
        <v>0</v>
      </c>
    </row>
    <row r="60" spans="1:5" ht="15" x14ac:dyDescent="0.25">
      <c r="A60" s="5" t="s">
        <v>60</v>
      </c>
      <c r="B60" s="6">
        <v>1759134</v>
      </c>
      <c r="C60" s="6">
        <v>564404</v>
      </c>
      <c r="D60" s="6">
        <v>550659</v>
      </c>
      <c r="E60" s="6">
        <v>13745</v>
      </c>
    </row>
    <row r="61" spans="1:5" ht="15" x14ac:dyDescent="0.25">
      <c r="A61" s="5" t="s">
        <v>61</v>
      </c>
      <c r="B61" s="6">
        <v>528207</v>
      </c>
      <c r="C61" s="6">
        <v>161508</v>
      </c>
      <c r="D61" s="6">
        <v>161508</v>
      </c>
      <c r="E61" s="6">
        <v>0</v>
      </c>
    </row>
    <row r="62" spans="1:5" ht="15" x14ac:dyDescent="0.25">
      <c r="A62" s="5" t="s">
        <v>62</v>
      </c>
      <c r="B62" s="6">
        <v>1177346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57177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75525925</v>
      </c>
      <c r="C64" s="8">
        <f>SUM(C8:C63)</f>
        <v>15223609</v>
      </c>
      <c r="D64" s="8">
        <f>SUM(D8:D63)</f>
        <v>12018088</v>
      </c>
      <c r="E64" s="8">
        <f>SUM(E8:E63)</f>
        <v>3205521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E582-2DE3-4832-9204-6D5196848E75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94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1026849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206870</v>
      </c>
      <c r="C9" s="6">
        <v>50050</v>
      </c>
      <c r="D9" s="6">
        <v>50046</v>
      </c>
      <c r="E9" s="6">
        <v>4</v>
      </c>
    </row>
    <row r="10" spans="1:5" ht="15" x14ac:dyDescent="0.25">
      <c r="A10" s="5" t="s">
        <v>87</v>
      </c>
      <c r="B10" s="6">
        <v>28183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1875915</v>
      </c>
      <c r="C11" s="6">
        <v>420159</v>
      </c>
      <c r="D11" s="6">
        <v>106170</v>
      </c>
      <c r="E11" s="6">
        <v>313989</v>
      </c>
    </row>
    <row r="12" spans="1:5" ht="15" x14ac:dyDescent="0.25">
      <c r="A12" s="5" t="s">
        <v>12</v>
      </c>
      <c r="B12" s="6">
        <v>845850</v>
      </c>
      <c r="C12" s="6">
        <v>256595</v>
      </c>
      <c r="D12" s="6">
        <v>255852</v>
      </c>
      <c r="E12" s="6">
        <v>743</v>
      </c>
    </row>
    <row r="13" spans="1:5" ht="15" x14ac:dyDescent="0.25">
      <c r="A13" s="5" t="s">
        <v>13</v>
      </c>
      <c r="B13" s="6">
        <v>12674291</v>
      </c>
      <c r="C13" s="6">
        <v>3745157</v>
      </c>
      <c r="D13" s="6">
        <v>3745154</v>
      </c>
      <c r="E13" s="6">
        <v>3</v>
      </c>
    </row>
    <row r="14" spans="1:5" ht="15" x14ac:dyDescent="0.25">
      <c r="A14" s="5" t="s">
        <v>14</v>
      </c>
      <c r="B14" s="6">
        <v>1267068</v>
      </c>
      <c r="C14" s="6">
        <v>398485</v>
      </c>
      <c r="D14" s="6">
        <v>391400</v>
      </c>
      <c r="E14" s="6">
        <v>7085</v>
      </c>
    </row>
    <row r="15" spans="1:5" ht="15" x14ac:dyDescent="0.25">
      <c r="A15" s="5" t="s">
        <v>15</v>
      </c>
      <c r="B15" s="6">
        <v>951730</v>
      </c>
      <c r="C15" s="6">
        <v>264330</v>
      </c>
      <c r="D15" s="6">
        <v>240657</v>
      </c>
      <c r="E15" s="6">
        <v>23673</v>
      </c>
    </row>
    <row r="16" spans="1:5" ht="15" x14ac:dyDescent="0.25">
      <c r="A16" s="5" t="s">
        <v>16</v>
      </c>
      <c r="B16" s="6">
        <v>0</v>
      </c>
      <c r="C16" s="6">
        <v>0</v>
      </c>
      <c r="D16" s="6">
        <v>0</v>
      </c>
      <c r="E16" s="6">
        <v>0</v>
      </c>
    </row>
    <row r="17" spans="1:5" ht="15" x14ac:dyDescent="0.25">
      <c r="A17" s="5" t="s">
        <v>17</v>
      </c>
      <c r="B17" s="6">
        <v>261096</v>
      </c>
      <c r="C17" s="6">
        <v>108901</v>
      </c>
      <c r="D17" s="6">
        <v>67213</v>
      </c>
      <c r="E17" s="6">
        <v>41688</v>
      </c>
    </row>
    <row r="18" spans="1:5" ht="15" x14ac:dyDescent="0.25">
      <c r="A18" s="5" t="s">
        <v>18</v>
      </c>
      <c r="B18" s="6">
        <v>3717196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1945609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36285</v>
      </c>
      <c r="C20" s="6">
        <v>4165</v>
      </c>
      <c r="D20" s="6" t="s">
        <v>8</v>
      </c>
      <c r="E20" s="6">
        <v>4165</v>
      </c>
    </row>
    <row r="21" spans="1:5" ht="15" x14ac:dyDescent="0.25">
      <c r="A21" s="5" t="s">
        <v>21</v>
      </c>
      <c r="B21" s="6">
        <v>314082</v>
      </c>
      <c r="C21" s="6">
        <v>112703</v>
      </c>
      <c r="D21" s="6">
        <v>20972</v>
      </c>
      <c r="E21" s="6">
        <v>91731</v>
      </c>
    </row>
    <row r="22" spans="1:5" ht="15" x14ac:dyDescent="0.25">
      <c r="A22" s="5" t="s">
        <v>22</v>
      </c>
      <c r="B22" s="6">
        <v>304138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2681580</v>
      </c>
      <c r="C23" s="6">
        <v>688386</v>
      </c>
      <c r="D23" s="6">
        <v>581454</v>
      </c>
      <c r="E23" s="6">
        <v>106932</v>
      </c>
    </row>
    <row r="24" spans="1:5" ht="15" x14ac:dyDescent="0.25">
      <c r="A24" s="5" t="s">
        <v>24</v>
      </c>
      <c r="B24" s="6">
        <v>1293678</v>
      </c>
      <c r="C24" s="6">
        <v>301500</v>
      </c>
      <c r="D24" s="6">
        <v>301500</v>
      </c>
      <c r="E24" s="6">
        <v>0</v>
      </c>
    </row>
    <row r="25" spans="1:5" ht="15" x14ac:dyDescent="0.25">
      <c r="A25" s="5" t="s">
        <v>25</v>
      </c>
      <c r="B25" s="6">
        <v>604261</v>
      </c>
      <c r="C25" s="6">
        <v>169743</v>
      </c>
      <c r="D25" s="6">
        <v>154768</v>
      </c>
      <c r="E25" s="6">
        <v>14975</v>
      </c>
    </row>
    <row r="26" spans="1:5" ht="15" x14ac:dyDescent="0.25">
      <c r="A26" s="5" t="s">
        <v>26</v>
      </c>
      <c r="B26" s="6">
        <v>372118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1292585</v>
      </c>
      <c r="C27" s="6">
        <v>449995</v>
      </c>
      <c r="D27" s="6">
        <v>449995</v>
      </c>
      <c r="E27" s="6">
        <v>0</v>
      </c>
    </row>
    <row r="28" spans="1:5" ht="15" x14ac:dyDescent="0.25">
      <c r="A28" s="5" t="s">
        <v>28</v>
      </c>
      <c r="B28" s="6">
        <v>1652110</v>
      </c>
      <c r="C28" s="6">
        <v>495453</v>
      </c>
      <c r="D28" s="6">
        <v>495453</v>
      </c>
      <c r="E28" s="6">
        <v>0</v>
      </c>
    </row>
    <row r="29" spans="1:5" ht="15" x14ac:dyDescent="0.25">
      <c r="A29" s="5" t="s">
        <v>29</v>
      </c>
      <c r="B29" s="6">
        <v>248113</v>
      </c>
      <c r="C29" s="6">
        <v>0</v>
      </c>
      <c r="D29" s="6">
        <v>0</v>
      </c>
      <c r="E29" s="6">
        <v>0</v>
      </c>
    </row>
    <row r="30" spans="1:5" ht="15" x14ac:dyDescent="0.25">
      <c r="A30" s="5" t="s">
        <v>30</v>
      </c>
      <c r="B30" s="6">
        <v>1211894</v>
      </c>
      <c r="C30" s="6">
        <v>309758</v>
      </c>
      <c r="D30" s="6">
        <v>309758</v>
      </c>
      <c r="E30" s="6">
        <v>0</v>
      </c>
    </row>
    <row r="31" spans="1:5" ht="15" x14ac:dyDescent="0.25">
      <c r="A31" s="5" t="s">
        <v>31</v>
      </c>
      <c r="B31" s="6">
        <v>1701088</v>
      </c>
      <c r="C31" s="6">
        <v>334737</v>
      </c>
      <c r="D31" s="6">
        <v>0</v>
      </c>
      <c r="E31" s="6">
        <v>334737</v>
      </c>
    </row>
    <row r="32" spans="1:5" ht="15" x14ac:dyDescent="0.25">
      <c r="A32" s="5" t="s">
        <v>32</v>
      </c>
      <c r="B32" s="6">
        <v>2420714</v>
      </c>
      <c r="C32" s="6">
        <v>687460</v>
      </c>
      <c r="D32" s="6">
        <v>633017</v>
      </c>
      <c r="E32" s="6">
        <v>54443</v>
      </c>
    </row>
    <row r="33" spans="1:5" ht="15" x14ac:dyDescent="0.25">
      <c r="A33" s="5" t="s">
        <v>33</v>
      </c>
      <c r="B33" s="6">
        <v>1057341</v>
      </c>
      <c r="C33" s="6">
        <v>192820</v>
      </c>
      <c r="D33" s="6">
        <v>192256</v>
      </c>
      <c r="E33" s="6">
        <v>564</v>
      </c>
    </row>
    <row r="34" spans="1:5" ht="15" x14ac:dyDescent="0.25">
      <c r="A34" s="5" t="s">
        <v>34</v>
      </c>
      <c r="B34" s="6">
        <v>670959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897164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254940</v>
      </c>
      <c r="C36" s="6">
        <v>97832</v>
      </c>
      <c r="D36" s="6">
        <v>97832</v>
      </c>
      <c r="E36" s="6">
        <v>0</v>
      </c>
    </row>
    <row r="37" spans="1:5" ht="15" x14ac:dyDescent="0.25">
      <c r="A37" s="5" t="s">
        <v>37</v>
      </c>
      <c r="B37" s="6">
        <v>15779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243681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591035</v>
      </c>
      <c r="C39" s="6">
        <v>211278</v>
      </c>
      <c r="D39" s="6">
        <v>211278</v>
      </c>
      <c r="E39" s="6">
        <v>0</v>
      </c>
    </row>
    <row r="40" spans="1:5" ht="15" x14ac:dyDescent="0.25">
      <c r="A40" s="5" t="s">
        <v>40</v>
      </c>
      <c r="B40" s="6">
        <v>185705</v>
      </c>
      <c r="C40" s="6">
        <v>55448</v>
      </c>
      <c r="D40" s="6">
        <v>55172</v>
      </c>
      <c r="E40" s="6">
        <v>276</v>
      </c>
    </row>
    <row r="41" spans="1:5" ht="15" x14ac:dyDescent="0.25">
      <c r="A41" s="5" t="s">
        <v>41</v>
      </c>
      <c r="B41" s="6">
        <v>1656601</v>
      </c>
      <c r="C41" s="6">
        <v>552053</v>
      </c>
      <c r="D41" s="6">
        <v>552053</v>
      </c>
      <c r="E41" s="6">
        <v>0</v>
      </c>
    </row>
    <row r="42" spans="1:5" ht="15" x14ac:dyDescent="0.25">
      <c r="A42" s="5" t="s">
        <v>42</v>
      </c>
      <c r="B42" s="6">
        <v>832586</v>
      </c>
      <c r="C42" s="6">
        <v>252949</v>
      </c>
      <c r="D42" s="6">
        <v>252949</v>
      </c>
      <c r="E42" s="6">
        <v>0</v>
      </c>
    </row>
    <row r="43" spans="1:5" ht="15" x14ac:dyDescent="0.25">
      <c r="A43" s="5" t="s">
        <v>43</v>
      </c>
      <c r="B43" s="6">
        <v>6146669</v>
      </c>
      <c r="C43" s="6">
        <v>1909545</v>
      </c>
      <c r="D43" s="6">
        <v>300806</v>
      </c>
      <c r="E43" s="6">
        <v>1608739</v>
      </c>
    </row>
    <row r="44" spans="1:5" ht="15" x14ac:dyDescent="0.25">
      <c r="A44" s="5" t="s">
        <v>44</v>
      </c>
      <c r="B44" s="6">
        <v>2178793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89678</v>
      </c>
      <c r="C45" s="6">
        <v>19542</v>
      </c>
      <c r="D45" s="6">
        <v>18618</v>
      </c>
      <c r="E45" s="6">
        <v>924</v>
      </c>
    </row>
    <row r="46" spans="1:5" ht="15" x14ac:dyDescent="0.25">
      <c r="A46" s="5" t="s">
        <v>46</v>
      </c>
      <c r="B46" s="6">
        <v>2858429</v>
      </c>
      <c r="C46" s="6">
        <v>569651</v>
      </c>
      <c r="D46" s="6">
        <v>569360</v>
      </c>
      <c r="E46" s="6">
        <v>291</v>
      </c>
    </row>
    <row r="47" spans="1:5" ht="15" x14ac:dyDescent="0.25">
      <c r="A47" s="5" t="s">
        <v>47</v>
      </c>
      <c r="B47" s="6">
        <v>640095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946804</v>
      </c>
      <c r="C48" s="6">
        <v>454172</v>
      </c>
      <c r="D48" s="6">
        <v>375927</v>
      </c>
      <c r="E48" s="6">
        <v>78245</v>
      </c>
    </row>
    <row r="49" spans="1:5" ht="15" x14ac:dyDescent="0.25">
      <c r="A49" s="5" t="s">
        <v>49</v>
      </c>
      <c r="B49" s="6">
        <v>2849170</v>
      </c>
      <c r="C49" s="6">
        <v>769039</v>
      </c>
      <c r="D49" s="6">
        <v>730764</v>
      </c>
      <c r="E49" s="6">
        <v>38275</v>
      </c>
    </row>
    <row r="50" spans="1:5" ht="15" x14ac:dyDescent="0.25">
      <c r="A50" s="5" t="s">
        <v>50</v>
      </c>
      <c r="B50" s="6">
        <v>1223270</v>
      </c>
      <c r="C50" s="6">
        <v>400209</v>
      </c>
      <c r="D50" s="6" t="s">
        <v>8</v>
      </c>
      <c r="E50" s="6">
        <v>400209</v>
      </c>
    </row>
    <row r="51" spans="1:5" ht="15" x14ac:dyDescent="0.25">
      <c r="A51" s="5" t="s">
        <v>51</v>
      </c>
      <c r="B51" s="6">
        <v>308695</v>
      </c>
      <c r="C51" s="6">
        <v>69511</v>
      </c>
      <c r="D51" s="6">
        <v>69511</v>
      </c>
      <c r="E51" s="6">
        <v>0</v>
      </c>
    </row>
    <row r="52" spans="1:5" ht="15" x14ac:dyDescent="0.25">
      <c r="A52" s="5" t="s">
        <v>52</v>
      </c>
      <c r="B52" s="6">
        <v>1265677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104062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1509553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4217767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290794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172859</v>
      </c>
      <c r="C57" s="6">
        <v>57340</v>
      </c>
      <c r="D57" s="6">
        <v>0</v>
      </c>
      <c r="E57" s="6">
        <v>57340</v>
      </c>
    </row>
    <row r="58" spans="1:5" ht="15" x14ac:dyDescent="0.25">
      <c r="A58" s="5" t="s">
        <v>58</v>
      </c>
      <c r="B58" s="6">
        <v>27284</v>
      </c>
      <c r="C58" s="6">
        <v>12497</v>
      </c>
      <c r="D58" s="6" t="s">
        <v>8</v>
      </c>
      <c r="E58" s="6">
        <v>12497</v>
      </c>
    </row>
    <row r="59" spans="1:5" ht="15" x14ac:dyDescent="0.25">
      <c r="A59" s="5" t="s">
        <v>59</v>
      </c>
      <c r="B59" s="6">
        <v>1082925</v>
      </c>
      <c r="C59" s="6">
        <v>0</v>
      </c>
      <c r="D59" s="6">
        <v>0</v>
      </c>
      <c r="E59" s="6">
        <v>0</v>
      </c>
    </row>
    <row r="60" spans="1:5" ht="15" x14ac:dyDescent="0.25">
      <c r="A60" s="5" t="s">
        <v>60</v>
      </c>
      <c r="B60" s="6">
        <v>1759718</v>
      </c>
      <c r="C60" s="6">
        <v>568958</v>
      </c>
      <c r="D60" s="6">
        <v>555071</v>
      </c>
      <c r="E60" s="6">
        <v>13887</v>
      </c>
    </row>
    <row r="61" spans="1:5" ht="15" x14ac:dyDescent="0.25">
      <c r="A61" s="5" t="s">
        <v>61</v>
      </c>
      <c r="B61" s="6">
        <v>525287</v>
      </c>
      <c r="C61" s="6">
        <v>160732</v>
      </c>
      <c r="D61" s="6">
        <v>160732</v>
      </c>
      <c r="E61" s="6">
        <v>0</v>
      </c>
    </row>
    <row r="62" spans="1:5" ht="15" x14ac:dyDescent="0.25">
      <c r="A62" s="5" t="s">
        <v>62</v>
      </c>
      <c r="B62" s="6">
        <v>1177714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56278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74770615</v>
      </c>
      <c r="C64" s="8">
        <f>SUM(C8:C63)</f>
        <v>15151153</v>
      </c>
      <c r="D64" s="8">
        <f>SUM(D8:D63)</f>
        <v>11945738</v>
      </c>
      <c r="E64" s="8">
        <f>SUM(E8:E63)</f>
        <v>3205415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02CC-BA8B-4DAA-8F14-8C47F19F2FF7}">
  <sheetPr>
    <pageSetUpPr fitToPage="1"/>
  </sheetPr>
  <dimension ref="A1:E89"/>
  <sheetViews>
    <sheetView workbookViewId="0">
      <pane ySplit="7" topLeftCell="A8" activePane="bottomLeft" state="frozenSplit"/>
      <selection activeCell="I4" sqref="I4"/>
      <selection pane="bottomLeft" activeCell="I4" sqref="I4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95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1030869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207330</v>
      </c>
      <c r="C9" s="6">
        <v>50515</v>
      </c>
      <c r="D9" s="6">
        <v>50512</v>
      </c>
      <c r="E9" s="6">
        <v>3</v>
      </c>
    </row>
    <row r="10" spans="1:5" ht="15" x14ac:dyDescent="0.25">
      <c r="A10" s="5" t="s">
        <v>87</v>
      </c>
      <c r="B10" s="6">
        <v>28183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1874674</v>
      </c>
      <c r="C11" s="6">
        <v>421967</v>
      </c>
      <c r="D11" s="6">
        <v>106458</v>
      </c>
      <c r="E11" s="6">
        <v>315509</v>
      </c>
    </row>
    <row r="12" spans="1:5" ht="15" x14ac:dyDescent="0.25">
      <c r="A12" s="5" t="s">
        <v>12</v>
      </c>
      <c r="B12" s="6">
        <v>841490</v>
      </c>
      <c r="C12" s="6">
        <v>254640</v>
      </c>
      <c r="D12" s="6">
        <v>253702</v>
      </c>
      <c r="E12" s="6">
        <v>938</v>
      </c>
    </row>
    <row r="13" spans="1:5" ht="15" x14ac:dyDescent="0.25">
      <c r="A13" s="5" t="s">
        <v>13</v>
      </c>
      <c r="B13" s="6">
        <v>12793749</v>
      </c>
      <c r="C13" s="6">
        <v>3787369</v>
      </c>
      <c r="D13" s="6">
        <v>3787362</v>
      </c>
      <c r="E13" s="6">
        <v>7</v>
      </c>
    </row>
    <row r="14" spans="1:5" ht="15" x14ac:dyDescent="0.25">
      <c r="A14" s="5" t="s">
        <v>14</v>
      </c>
      <c r="B14" s="6">
        <v>1258689</v>
      </c>
      <c r="C14" s="6">
        <v>389813</v>
      </c>
      <c r="D14" s="6">
        <v>382675</v>
      </c>
      <c r="E14" s="6">
        <v>7138</v>
      </c>
    </row>
    <row r="15" spans="1:5" ht="15" x14ac:dyDescent="0.25">
      <c r="A15" s="5" t="s">
        <v>15</v>
      </c>
      <c r="B15" s="6">
        <v>947355</v>
      </c>
      <c r="C15" s="6">
        <v>263967</v>
      </c>
      <c r="D15" s="6">
        <v>240397</v>
      </c>
      <c r="E15" s="6">
        <v>23570</v>
      </c>
    </row>
    <row r="16" spans="1:5" ht="15" x14ac:dyDescent="0.25">
      <c r="A16" s="5" t="s">
        <v>16</v>
      </c>
      <c r="B16" s="6">
        <v>219338</v>
      </c>
      <c r="C16" s="6">
        <v>62893</v>
      </c>
      <c r="D16" s="6">
        <v>9842</v>
      </c>
      <c r="E16" s="6">
        <v>53051</v>
      </c>
    </row>
    <row r="17" spans="1:5" ht="15" x14ac:dyDescent="0.25">
      <c r="A17" s="5" t="s">
        <v>17</v>
      </c>
      <c r="B17" s="6">
        <v>260388</v>
      </c>
      <c r="C17" s="6">
        <v>108097</v>
      </c>
      <c r="D17" s="6">
        <v>66620</v>
      </c>
      <c r="E17" s="6">
        <v>41477</v>
      </c>
    </row>
    <row r="18" spans="1:5" ht="15" x14ac:dyDescent="0.25">
      <c r="A18" s="5" t="s">
        <v>18</v>
      </c>
      <c r="B18" s="6">
        <v>3834674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1961608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36415</v>
      </c>
      <c r="C20" s="6">
        <v>4196</v>
      </c>
      <c r="D20" s="6" t="s">
        <v>8</v>
      </c>
      <c r="E20" s="6">
        <v>4196</v>
      </c>
    </row>
    <row r="21" spans="1:5" ht="15" x14ac:dyDescent="0.25">
      <c r="A21" s="5" t="s">
        <v>21</v>
      </c>
      <c r="B21" s="6">
        <v>313334</v>
      </c>
      <c r="C21" s="6">
        <v>112080</v>
      </c>
      <c r="D21" s="6">
        <v>20671</v>
      </c>
      <c r="E21" s="6">
        <v>91409</v>
      </c>
    </row>
    <row r="22" spans="1:5" ht="15" x14ac:dyDescent="0.25">
      <c r="A22" s="5" t="s">
        <v>22</v>
      </c>
      <c r="B22" s="6">
        <v>293665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2668561</v>
      </c>
      <c r="C23" s="6">
        <v>683826</v>
      </c>
      <c r="D23" s="6">
        <v>576312</v>
      </c>
      <c r="E23" s="6">
        <v>107514</v>
      </c>
    </row>
    <row r="24" spans="1:5" ht="15" x14ac:dyDescent="0.25">
      <c r="A24" s="5" t="s">
        <v>24</v>
      </c>
      <c r="B24" s="6">
        <v>1320211</v>
      </c>
      <c r="C24" s="6">
        <v>305297</v>
      </c>
      <c r="D24" s="6">
        <v>305297</v>
      </c>
      <c r="E24" s="6">
        <v>0</v>
      </c>
    </row>
    <row r="25" spans="1:5" ht="15" x14ac:dyDescent="0.25">
      <c r="A25" s="5" t="s">
        <v>25</v>
      </c>
      <c r="B25" s="6">
        <v>601388</v>
      </c>
      <c r="C25" s="6">
        <v>169454</v>
      </c>
      <c r="D25" s="6">
        <v>153747</v>
      </c>
      <c r="E25" s="6">
        <v>15707</v>
      </c>
    </row>
    <row r="26" spans="1:5" ht="15" x14ac:dyDescent="0.25">
      <c r="A26" s="5" t="s">
        <v>26</v>
      </c>
      <c r="B26" s="6">
        <v>369499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1294292</v>
      </c>
      <c r="C27" s="6">
        <v>450634</v>
      </c>
      <c r="D27" s="6">
        <v>450634</v>
      </c>
      <c r="E27" s="6">
        <v>0</v>
      </c>
    </row>
    <row r="28" spans="1:5" ht="15" x14ac:dyDescent="0.25">
      <c r="A28" s="5" t="s">
        <v>28</v>
      </c>
      <c r="B28" s="6">
        <v>1679275</v>
      </c>
      <c r="C28" s="6">
        <v>508604</v>
      </c>
      <c r="D28" s="6">
        <v>508604</v>
      </c>
      <c r="E28" s="6">
        <v>0</v>
      </c>
    </row>
    <row r="29" spans="1:5" ht="15" x14ac:dyDescent="0.25">
      <c r="A29" s="5" t="s">
        <v>29</v>
      </c>
      <c r="B29" s="6">
        <v>250952</v>
      </c>
      <c r="C29" s="6">
        <v>2922</v>
      </c>
      <c r="D29" s="6">
        <v>2922</v>
      </c>
      <c r="E29" s="6">
        <v>0</v>
      </c>
    </row>
    <row r="30" spans="1:5" ht="15" x14ac:dyDescent="0.25">
      <c r="A30" s="5" t="s">
        <v>30</v>
      </c>
      <c r="B30" s="6">
        <v>1211974</v>
      </c>
      <c r="C30" s="6">
        <v>309643</v>
      </c>
      <c r="D30" s="6">
        <v>309643</v>
      </c>
      <c r="E30" s="6">
        <v>0</v>
      </c>
    </row>
    <row r="31" spans="1:5" ht="15" x14ac:dyDescent="0.25">
      <c r="A31" s="5" t="s">
        <v>31</v>
      </c>
      <c r="B31" s="6">
        <v>1481856</v>
      </c>
      <c r="C31" s="6">
        <v>337206</v>
      </c>
      <c r="D31" s="6">
        <v>0</v>
      </c>
      <c r="E31" s="6">
        <v>337206</v>
      </c>
    </row>
    <row r="32" spans="1:5" ht="15" x14ac:dyDescent="0.25">
      <c r="A32" s="5" t="s">
        <v>32</v>
      </c>
      <c r="B32" s="6">
        <v>2421046</v>
      </c>
      <c r="C32" s="6">
        <v>689970</v>
      </c>
      <c r="D32" s="6">
        <v>636973</v>
      </c>
      <c r="E32" s="6">
        <v>52997</v>
      </c>
    </row>
    <row r="33" spans="1:5" ht="15" x14ac:dyDescent="0.25">
      <c r="A33" s="5" t="s">
        <v>33</v>
      </c>
      <c r="B33" s="6">
        <v>1084410</v>
      </c>
      <c r="C33" s="6">
        <v>197789</v>
      </c>
      <c r="D33" s="6">
        <v>197019</v>
      </c>
      <c r="E33" s="6">
        <v>770</v>
      </c>
    </row>
    <row r="34" spans="1:5" ht="15" x14ac:dyDescent="0.25">
      <c r="A34" s="5" t="s">
        <v>34</v>
      </c>
      <c r="B34" s="6">
        <v>675003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895137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259773</v>
      </c>
      <c r="C36" s="6">
        <v>99861</v>
      </c>
      <c r="D36" s="6">
        <v>99861</v>
      </c>
      <c r="E36" s="6">
        <v>0</v>
      </c>
    </row>
    <row r="37" spans="1:5" ht="15" x14ac:dyDescent="0.25">
      <c r="A37" s="5" t="s">
        <v>37</v>
      </c>
      <c r="B37" s="6">
        <v>16305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244419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589856</v>
      </c>
      <c r="C39" s="6">
        <v>211069</v>
      </c>
      <c r="D39" s="6">
        <v>211069</v>
      </c>
      <c r="E39" s="6">
        <v>0</v>
      </c>
    </row>
    <row r="40" spans="1:5" ht="15" x14ac:dyDescent="0.25">
      <c r="A40" s="5" t="s">
        <v>40</v>
      </c>
      <c r="B40" s="6">
        <v>185469</v>
      </c>
      <c r="C40" s="6">
        <v>55063</v>
      </c>
      <c r="D40" s="6">
        <v>54786</v>
      </c>
      <c r="E40" s="6">
        <v>277</v>
      </c>
    </row>
    <row r="41" spans="1:5" ht="15" x14ac:dyDescent="0.25">
      <c r="A41" s="5" t="s">
        <v>41</v>
      </c>
      <c r="B41" s="6">
        <v>1651766</v>
      </c>
      <c r="C41" s="6">
        <v>551242</v>
      </c>
      <c r="D41" s="6">
        <v>551242</v>
      </c>
      <c r="E41" s="6">
        <v>0</v>
      </c>
    </row>
    <row r="42" spans="1:5" ht="15" x14ac:dyDescent="0.25">
      <c r="A42" s="5" t="s">
        <v>42</v>
      </c>
      <c r="B42" s="6">
        <v>837778</v>
      </c>
      <c r="C42" s="6">
        <v>255147</v>
      </c>
      <c r="D42" s="6">
        <v>255147</v>
      </c>
      <c r="E42" s="6">
        <v>0</v>
      </c>
    </row>
    <row r="43" spans="1:5" ht="15" x14ac:dyDescent="0.25">
      <c r="A43" s="5" t="s">
        <v>43</v>
      </c>
      <c r="B43" s="6">
        <v>6153908</v>
      </c>
      <c r="C43" s="6">
        <v>1911722</v>
      </c>
      <c r="D43" s="6">
        <v>302526</v>
      </c>
      <c r="E43" s="6">
        <v>1609196</v>
      </c>
    </row>
    <row r="44" spans="1:5" ht="15" x14ac:dyDescent="0.25">
      <c r="A44" s="5" t="s">
        <v>44</v>
      </c>
      <c r="B44" s="6">
        <v>2178750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91289</v>
      </c>
      <c r="C45" s="6">
        <v>20160</v>
      </c>
      <c r="D45" s="6">
        <v>19211</v>
      </c>
      <c r="E45" s="6">
        <v>949</v>
      </c>
    </row>
    <row r="46" spans="1:5" ht="15" x14ac:dyDescent="0.25">
      <c r="A46" s="5" t="s">
        <v>46</v>
      </c>
      <c r="B46" s="6">
        <v>2852643</v>
      </c>
      <c r="C46" s="6">
        <v>561489</v>
      </c>
      <c r="D46" s="6">
        <v>561221</v>
      </c>
      <c r="E46" s="6">
        <v>268</v>
      </c>
    </row>
    <row r="47" spans="1:5" ht="15" x14ac:dyDescent="0.25">
      <c r="A47" s="5" t="s">
        <v>47</v>
      </c>
      <c r="B47" s="6">
        <v>641671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967100</v>
      </c>
      <c r="C48" s="6">
        <v>466729</v>
      </c>
      <c r="D48" s="6">
        <v>386673</v>
      </c>
      <c r="E48" s="6">
        <v>80056</v>
      </c>
    </row>
    <row r="49" spans="1:5" ht="15" x14ac:dyDescent="0.25">
      <c r="A49" s="5" t="s">
        <v>49</v>
      </c>
      <c r="B49" s="6">
        <v>2866740</v>
      </c>
      <c r="C49" s="6">
        <v>774134</v>
      </c>
      <c r="D49" s="6">
        <v>735455</v>
      </c>
      <c r="E49" s="6">
        <v>38679</v>
      </c>
    </row>
    <row r="50" spans="1:5" ht="15" x14ac:dyDescent="0.25">
      <c r="A50" s="5" t="s">
        <v>50</v>
      </c>
      <c r="B50" s="6">
        <v>1187816</v>
      </c>
      <c r="C50" s="6">
        <v>386137</v>
      </c>
      <c r="D50" s="6" t="s">
        <v>8</v>
      </c>
      <c r="E50" s="6">
        <v>386137</v>
      </c>
    </row>
    <row r="51" spans="1:5" ht="15" x14ac:dyDescent="0.25">
      <c r="A51" s="5" t="s">
        <v>51</v>
      </c>
      <c r="B51" s="6">
        <v>307572</v>
      </c>
      <c r="C51" s="6">
        <v>68493</v>
      </c>
      <c r="D51" s="6">
        <v>68493</v>
      </c>
      <c r="E51" s="6">
        <v>0</v>
      </c>
    </row>
    <row r="52" spans="1:5" ht="15" x14ac:dyDescent="0.25">
      <c r="A52" s="5" t="s">
        <v>52</v>
      </c>
      <c r="B52" s="6">
        <v>1267524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104369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1540713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4219994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290397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171269</v>
      </c>
      <c r="C57" s="6">
        <v>56793</v>
      </c>
      <c r="D57" s="6">
        <v>0</v>
      </c>
      <c r="E57" s="6">
        <v>56793</v>
      </c>
    </row>
    <row r="58" spans="1:5" ht="15" x14ac:dyDescent="0.25">
      <c r="A58" s="5" t="s">
        <v>58</v>
      </c>
      <c r="B58" s="6">
        <v>27617</v>
      </c>
      <c r="C58" s="6">
        <v>12713</v>
      </c>
      <c r="D58" s="6">
        <v>12678</v>
      </c>
      <c r="E58" s="6">
        <v>12713</v>
      </c>
    </row>
    <row r="59" spans="1:5" ht="15" x14ac:dyDescent="0.25">
      <c r="A59" s="5" t="s">
        <v>59</v>
      </c>
      <c r="B59" s="6">
        <v>1356905</v>
      </c>
      <c r="C59" s="6">
        <v>198653</v>
      </c>
      <c r="D59" s="6">
        <v>198653</v>
      </c>
      <c r="E59" s="6">
        <v>0</v>
      </c>
    </row>
    <row r="60" spans="1:5" ht="15" x14ac:dyDescent="0.25">
      <c r="A60" s="5" t="s">
        <v>60</v>
      </c>
      <c r="B60" s="6">
        <v>1752554</v>
      </c>
      <c r="C60" s="6">
        <v>563224</v>
      </c>
      <c r="D60" s="6">
        <v>548937</v>
      </c>
      <c r="E60" s="6">
        <v>14287</v>
      </c>
    </row>
    <row r="61" spans="1:5" ht="15" x14ac:dyDescent="0.25">
      <c r="A61" s="5" t="s">
        <v>61</v>
      </c>
      <c r="B61" s="6">
        <v>524071</v>
      </c>
      <c r="C61" s="6">
        <v>161070</v>
      </c>
      <c r="D61" s="6">
        <v>161070</v>
      </c>
      <c r="E61" s="6">
        <v>0</v>
      </c>
    </row>
    <row r="62" spans="1:5" ht="15" x14ac:dyDescent="0.25">
      <c r="A62" s="5" t="s">
        <v>62</v>
      </c>
      <c r="B62" s="6">
        <v>1176174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56253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75376060</v>
      </c>
      <c r="C64" s="8">
        <f>SUM(C8:C63)</f>
        <v>15464581</v>
      </c>
      <c r="D64" s="8">
        <f>SUM(D8:D63)</f>
        <v>12226412</v>
      </c>
      <c r="E64" s="8">
        <f>SUM(E8:E63)</f>
        <v>3250847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AA52-67B0-4E33-98E4-EEE33AB146CF}">
  <sheetPr>
    <pageSetUpPr fitToPage="1"/>
  </sheetPr>
  <dimension ref="A1:E89"/>
  <sheetViews>
    <sheetView workbookViewId="0">
      <pane ySplit="7" topLeftCell="A8" activePane="bottomLeft" state="frozenSplit"/>
      <selection activeCell="I4" sqref="I4"/>
      <selection pane="bottomLeft" activeCell="I4" sqref="I4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96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1033902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207050</v>
      </c>
      <c r="C9" s="6">
        <v>50745</v>
      </c>
      <c r="D9" s="6">
        <v>50742</v>
      </c>
      <c r="E9" s="6">
        <v>3</v>
      </c>
    </row>
    <row r="10" spans="1:5" ht="15" x14ac:dyDescent="0.25">
      <c r="A10" s="5" t="s">
        <v>87</v>
      </c>
      <c r="B10" s="6">
        <v>28183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1880317</v>
      </c>
      <c r="C11" s="6">
        <v>426279</v>
      </c>
      <c r="D11" s="6">
        <v>107451</v>
      </c>
      <c r="E11" s="6">
        <v>318828</v>
      </c>
    </row>
    <row r="12" spans="1:5" ht="15" x14ac:dyDescent="0.25">
      <c r="A12" s="5" t="s">
        <v>12</v>
      </c>
      <c r="B12" s="6">
        <v>832662</v>
      </c>
      <c r="C12" s="6">
        <v>251077</v>
      </c>
      <c r="D12" s="6">
        <v>250141</v>
      </c>
      <c r="E12" s="6">
        <v>936</v>
      </c>
    </row>
    <row r="13" spans="1:5" ht="15" x14ac:dyDescent="0.25">
      <c r="A13" s="5" t="s">
        <v>13</v>
      </c>
      <c r="B13" s="6">
        <v>12724664</v>
      </c>
      <c r="C13" s="6">
        <v>3768331</v>
      </c>
      <c r="D13" s="6">
        <v>3767510</v>
      </c>
      <c r="E13" s="6">
        <v>821</v>
      </c>
    </row>
    <row r="14" spans="1:5" ht="15" x14ac:dyDescent="0.25">
      <c r="A14" s="5" t="s">
        <v>14</v>
      </c>
      <c r="B14" s="6">
        <v>1255515</v>
      </c>
      <c r="C14" s="6">
        <v>389270</v>
      </c>
      <c r="D14" s="6">
        <v>382110</v>
      </c>
      <c r="E14" s="6">
        <v>7160</v>
      </c>
    </row>
    <row r="15" spans="1:5" ht="15" x14ac:dyDescent="0.25">
      <c r="A15" s="5" t="s">
        <v>15</v>
      </c>
      <c r="B15" s="6">
        <v>953795</v>
      </c>
      <c r="C15" s="6">
        <v>266839</v>
      </c>
      <c r="D15" s="6">
        <v>242907</v>
      </c>
      <c r="E15" s="6">
        <v>23932</v>
      </c>
    </row>
    <row r="16" spans="1:5" ht="15" x14ac:dyDescent="0.25">
      <c r="A16" s="5" t="s">
        <v>16</v>
      </c>
      <c r="B16" s="6">
        <v>219432</v>
      </c>
      <c r="C16" s="6">
        <v>62843</v>
      </c>
      <c r="D16" s="6">
        <v>9784</v>
      </c>
      <c r="E16" s="6">
        <v>53059</v>
      </c>
    </row>
    <row r="17" spans="1:5" ht="15" x14ac:dyDescent="0.25">
      <c r="A17" s="5" t="s">
        <v>17</v>
      </c>
      <c r="B17" s="6">
        <v>260789</v>
      </c>
      <c r="C17" s="6">
        <v>108049</v>
      </c>
      <c r="D17" s="6">
        <v>66542</v>
      </c>
      <c r="E17" s="6">
        <v>41507</v>
      </c>
    </row>
    <row r="18" spans="1:5" ht="15" x14ac:dyDescent="0.25">
      <c r="A18" s="5" t="s">
        <v>18</v>
      </c>
      <c r="B18" s="6">
        <v>3790751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1957553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36253</v>
      </c>
      <c r="C20" s="6">
        <v>4207</v>
      </c>
      <c r="D20" s="6" t="s">
        <v>8</v>
      </c>
      <c r="E20" s="6">
        <v>4207</v>
      </c>
    </row>
    <row r="21" spans="1:5" ht="15" x14ac:dyDescent="0.25">
      <c r="A21" s="5" t="s">
        <v>21</v>
      </c>
      <c r="B21" s="6">
        <v>311088</v>
      </c>
      <c r="C21" s="6">
        <v>110824</v>
      </c>
      <c r="D21" s="6">
        <v>20336</v>
      </c>
      <c r="E21" s="6">
        <v>90488</v>
      </c>
    </row>
    <row r="22" spans="1:5" ht="15" x14ac:dyDescent="0.25">
      <c r="A22" s="5" t="s">
        <v>22</v>
      </c>
      <c r="B22" s="6">
        <v>294793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2638758</v>
      </c>
      <c r="C23" s="6">
        <v>672921</v>
      </c>
      <c r="D23" s="6">
        <v>565283</v>
      </c>
      <c r="E23" s="6">
        <v>107638</v>
      </c>
    </row>
    <row r="24" spans="1:5" ht="15" x14ac:dyDescent="0.25">
      <c r="A24" s="5" t="s">
        <v>24</v>
      </c>
      <c r="B24" s="6">
        <v>1320319</v>
      </c>
      <c r="C24" s="6">
        <v>309792</v>
      </c>
      <c r="D24" s="6">
        <v>309792</v>
      </c>
      <c r="E24" s="6">
        <v>0</v>
      </c>
    </row>
    <row r="25" spans="1:5" ht="15" x14ac:dyDescent="0.25">
      <c r="A25" s="5" t="s">
        <v>25</v>
      </c>
      <c r="B25" s="6">
        <v>604647</v>
      </c>
      <c r="C25" s="6">
        <v>171352</v>
      </c>
      <c r="D25" s="6">
        <v>155930</v>
      </c>
      <c r="E25" s="6">
        <v>15422</v>
      </c>
    </row>
    <row r="26" spans="1:5" ht="15" x14ac:dyDescent="0.25">
      <c r="A26" s="5" t="s">
        <v>26</v>
      </c>
      <c r="B26" s="6">
        <v>364113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1290860</v>
      </c>
      <c r="C27" s="6">
        <v>450566</v>
      </c>
      <c r="D27" s="6">
        <v>450566</v>
      </c>
      <c r="E27" s="6">
        <v>0</v>
      </c>
    </row>
    <row r="28" spans="1:5" ht="15" x14ac:dyDescent="0.25">
      <c r="A28" s="5" t="s">
        <v>28</v>
      </c>
      <c r="B28" s="6">
        <v>1675222</v>
      </c>
      <c r="C28" s="6">
        <v>507789</v>
      </c>
      <c r="D28" s="6">
        <v>507789</v>
      </c>
      <c r="E28" s="6">
        <v>0</v>
      </c>
    </row>
    <row r="29" spans="1:5" ht="15" x14ac:dyDescent="0.25">
      <c r="A29" s="5" t="s">
        <v>29</v>
      </c>
      <c r="B29" s="6">
        <v>257551</v>
      </c>
      <c r="C29" s="6">
        <v>8562</v>
      </c>
      <c r="D29" s="6">
        <v>8562</v>
      </c>
      <c r="E29" s="6">
        <v>0</v>
      </c>
    </row>
    <row r="30" spans="1:5" ht="15" x14ac:dyDescent="0.25">
      <c r="A30" s="5" t="s">
        <v>30</v>
      </c>
      <c r="B30" s="6">
        <v>1215940</v>
      </c>
      <c r="C30" s="6">
        <v>310237</v>
      </c>
      <c r="D30" s="6">
        <v>310237</v>
      </c>
      <c r="E30" s="6">
        <v>0</v>
      </c>
    </row>
    <row r="31" spans="1:5" ht="15" x14ac:dyDescent="0.25">
      <c r="A31" s="5" t="s">
        <v>31</v>
      </c>
      <c r="B31" s="6">
        <v>1418667</v>
      </c>
      <c r="C31" s="6">
        <v>320525</v>
      </c>
      <c r="D31" s="6">
        <v>0</v>
      </c>
      <c r="E31" s="6">
        <v>320525</v>
      </c>
    </row>
    <row r="32" spans="1:5" ht="15" x14ac:dyDescent="0.25">
      <c r="A32" s="5" t="s">
        <v>32</v>
      </c>
      <c r="B32" s="6">
        <v>2443016</v>
      </c>
      <c r="C32" s="6">
        <v>697752</v>
      </c>
      <c r="D32" s="6">
        <v>645158</v>
      </c>
      <c r="E32" s="6">
        <v>52594</v>
      </c>
    </row>
    <row r="33" spans="1:5" ht="15" x14ac:dyDescent="0.25">
      <c r="A33" s="5" t="s">
        <v>33</v>
      </c>
      <c r="B33" s="6">
        <v>1067388</v>
      </c>
      <c r="C33" s="6">
        <v>193550</v>
      </c>
      <c r="D33" s="6">
        <v>192684</v>
      </c>
      <c r="E33" s="6">
        <v>866</v>
      </c>
    </row>
    <row r="34" spans="1:5" ht="15" x14ac:dyDescent="0.25">
      <c r="A34" s="5" t="s">
        <v>34</v>
      </c>
      <c r="B34" s="6">
        <v>674568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890169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258991</v>
      </c>
      <c r="C36" s="6">
        <v>99706</v>
      </c>
      <c r="D36" s="6">
        <v>99706</v>
      </c>
      <c r="E36" s="6">
        <v>0</v>
      </c>
    </row>
    <row r="37" spans="1:5" ht="15" x14ac:dyDescent="0.25">
      <c r="A37" s="5" t="s">
        <v>37</v>
      </c>
      <c r="B37" s="6">
        <v>15963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245052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587891</v>
      </c>
      <c r="C39" s="6">
        <v>210227</v>
      </c>
      <c r="D39" s="6">
        <v>210227</v>
      </c>
      <c r="E39" s="6">
        <v>0</v>
      </c>
    </row>
    <row r="40" spans="1:5" ht="15" x14ac:dyDescent="0.25">
      <c r="A40" s="5" t="s">
        <v>40</v>
      </c>
      <c r="B40" s="6">
        <v>185135</v>
      </c>
      <c r="C40" s="6">
        <v>54590</v>
      </c>
      <c r="D40" s="6">
        <v>54307</v>
      </c>
      <c r="E40" s="6">
        <v>283</v>
      </c>
    </row>
    <row r="41" spans="1:5" ht="15" x14ac:dyDescent="0.25">
      <c r="A41" s="5" t="s">
        <v>41</v>
      </c>
      <c r="B41" s="6">
        <v>1639444</v>
      </c>
      <c r="C41" s="6">
        <v>545379</v>
      </c>
      <c r="D41" s="6">
        <v>545379</v>
      </c>
      <c r="E41" s="6">
        <v>0</v>
      </c>
    </row>
    <row r="42" spans="1:5" ht="15" x14ac:dyDescent="0.25">
      <c r="A42" s="5" t="s">
        <v>42</v>
      </c>
      <c r="B42" s="6">
        <v>836101</v>
      </c>
      <c r="C42" s="6">
        <v>255681</v>
      </c>
      <c r="D42" s="6">
        <v>255681</v>
      </c>
      <c r="E42" s="6">
        <v>0</v>
      </c>
    </row>
    <row r="43" spans="1:5" ht="15" x14ac:dyDescent="0.25">
      <c r="A43" s="5" t="s">
        <v>43</v>
      </c>
      <c r="B43" s="6">
        <v>6135558</v>
      </c>
      <c r="C43" s="6">
        <v>1902691</v>
      </c>
      <c r="D43" s="6">
        <v>301773</v>
      </c>
      <c r="E43" s="6">
        <v>1600918</v>
      </c>
    </row>
    <row r="44" spans="1:5" ht="15" x14ac:dyDescent="0.25">
      <c r="A44" s="5" t="s">
        <v>44</v>
      </c>
      <c r="B44" s="6">
        <v>2172915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89555</v>
      </c>
      <c r="C45" s="6">
        <v>19561</v>
      </c>
      <c r="D45" s="6">
        <v>18641</v>
      </c>
      <c r="E45" s="6">
        <v>920</v>
      </c>
    </row>
    <row r="46" spans="1:5" ht="15" x14ac:dyDescent="0.25">
      <c r="A46" s="5" t="s">
        <v>46</v>
      </c>
      <c r="B46" s="6">
        <v>2845367</v>
      </c>
      <c r="C46" s="6">
        <v>562111</v>
      </c>
      <c r="D46" s="6">
        <v>561835</v>
      </c>
      <c r="E46" s="6">
        <v>276</v>
      </c>
    </row>
    <row r="47" spans="1:5" ht="15" x14ac:dyDescent="0.25">
      <c r="A47" s="5" t="s">
        <v>47</v>
      </c>
      <c r="B47" s="6">
        <v>644559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963676</v>
      </c>
      <c r="C48" s="6">
        <v>464703</v>
      </c>
      <c r="D48" s="6">
        <v>384309</v>
      </c>
      <c r="E48" s="6">
        <v>80394</v>
      </c>
    </row>
    <row r="49" spans="1:5" ht="15" x14ac:dyDescent="0.25">
      <c r="A49" s="5" t="s">
        <v>49</v>
      </c>
      <c r="B49" s="6">
        <v>2859499</v>
      </c>
      <c r="C49" s="6">
        <v>770742</v>
      </c>
      <c r="D49" s="6">
        <v>731892</v>
      </c>
      <c r="E49" s="6">
        <v>38850</v>
      </c>
    </row>
    <row r="50" spans="1:5" ht="15" x14ac:dyDescent="0.25">
      <c r="A50" s="5" t="s">
        <v>50</v>
      </c>
      <c r="B50" s="6">
        <v>1212621</v>
      </c>
      <c r="C50" s="6">
        <v>403672</v>
      </c>
      <c r="D50" s="6" t="s">
        <v>8</v>
      </c>
      <c r="E50" s="6">
        <v>403672</v>
      </c>
    </row>
    <row r="51" spans="1:5" ht="15" x14ac:dyDescent="0.25">
      <c r="A51" s="5" t="s">
        <v>51</v>
      </c>
      <c r="B51" s="6">
        <v>304249</v>
      </c>
      <c r="C51" s="6">
        <v>66656</v>
      </c>
      <c r="D51" s="6">
        <v>66656</v>
      </c>
      <c r="E51" s="6">
        <v>0</v>
      </c>
    </row>
    <row r="52" spans="1:5" ht="15" x14ac:dyDescent="0.25">
      <c r="A52" s="5" t="s">
        <v>52</v>
      </c>
      <c r="B52" s="6">
        <v>1268616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104494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1541156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4204185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288842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170560</v>
      </c>
      <c r="C57" s="6">
        <v>56608</v>
      </c>
      <c r="D57" s="6">
        <v>0</v>
      </c>
      <c r="E57" s="6">
        <v>56608</v>
      </c>
    </row>
    <row r="58" spans="1:5" ht="15" x14ac:dyDescent="0.25">
      <c r="A58" s="5" t="s">
        <v>58</v>
      </c>
      <c r="B58" s="6">
        <v>27917</v>
      </c>
      <c r="C58" s="6">
        <v>12846</v>
      </c>
      <c r="D58" s="6" t="s">
        <v>8</v>
      </c>
      <c r="E58" s="6">
        <v>12846</v>
      </c>
    </row>
    <row r="59" spans="1:5" ht="15" x14ac:dyDescent="0.25">
      <c r="A59" s="5" t="s">
        <v>59</v>
      </c>
      <c r="B59" s="6">
        <v>1401917</v>
      </c>
      <c r="C59" s="6">
        <v>220580</v>
      </c>
      <c r="D59" s="6">
        <v>220580</v>
      </c>
      <c r="E59" s="6">
        <v>0</v>
      </c>
    </row>
    <row r="60" spans="1:5" ht="15" x14ac:dyDescent="0.25">
      <c r="A60" s="5" t="s">
        <v>60</v>
      </c>
      <c r="B60" s="6">
        <v>1743962</v>
      </c>
      <c r="C60" s="6">
        <v>559930</v>
      </c>
      <c r="D60" s="6">
        <v>545495</v>
      </c>
      <c r="E60" s="6">
        <v>14435</v>
      </c>
    </row>
    <row r="61" spans="1:5" ht="15" x14ac:dyDescent="0.25">
      <c r="A61" s="5" t="s">
        <v>61</v>
      </c>
      <c r="B61" s="6">
        <v>524465</v>
      </c>
      <c r="C61" s="6">
        <v>161113</v>
      </c>
      <c r="D61" s="6">
        <v>161113</v>
      </c>
      <c r="E61" s="6">
        <v>0</v>
      </c>
    </row>
    <row r="62" spans="1:5" ht="15" x14ac:dyDescent="0.25">
      <c r="A62" s="5" t="s">
        <v>62</v>
      </c>
      <c r="B62" s="6">
        <v>1178036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54601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75153292</v>
      </c>
      <c r="C64" s="8">
        <f>SUM(C8:C63)</f>
        <v>15448306</v>
      </c>
      <c r="D64" s="8">
        <f>SUM(D8:D63)</f>
        <v>12201118</v>
      </c>
      <c r="E64" s="8">
        <f>SUM(E8:E63)</f>
        <v>3247188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34D1-E5DC-4C1F-9961-348827ECBB72}">
  <sheetPr>
    <pageSetUpPr fitToPage="1"/>
  </sheetPr>
  <dimension ref="A1:E89"/>
  <sheetViews>
    <sheetView workbookViewId="0">
      <pane ySplit="7" topLeftCell="A8" activePane="bottomLeft" state="frozenSplit"/>
      <selection activeCell="I4" sqref="I4"/>
      <selection pane="bottomLeft" activeCell="I4" sqref="I4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98</v>
      </c>
      <c r="B2" s="2"/>
      <c r="C2" s="2"/>
      <c r="D2" s="2"/>
      <c r="E2" s="2"/>
    </row>
    <row r="3" spans="1:5" ht="15" x14ac:dyDescent="0.25">
      <c r="A3" s="2" t="s">
        <v>97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1033512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206812</v>
      </c>
      <c r="C9" s="6">
        <v>50871</v>
      </c>
      <c r="D9" s="6">
        <v>50867</v>
      </c>
      <c r="E9" s="6">
        <v>4</v>
      </c>
    </row>
    <row r="10" spans="1:5" ht="15" x14ac:dyDescent="0.25">
      <c r="A10" s="5" t="s">
        <v>87</v>
      </c>
      <c r="B10" s="6">
        <v>28183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1876939</v>
      </c>
      <c r="C11" s="6">
        <v>426199</v>
      </c>
      <c r="D11" s="6">
        <v>107490</v>
      </c>
      <c r="E11" s="6">
        <v>318709</v>
      </c>
    </row>
    <row r="12" spans="1:5" ht="15" x14ac:dyDescent="0.25">
      <c r="A12" s="5" t="s">
        <v>12</v>
      </c>
      <c r="B12" s="6">
        <v>825029</v>
      </c>
      <c r="C12" s="6">
        <v>247947</v>
      </c>
      <c r="D12" s="6">
        <v>246996</v>
      </c>
      <c r="E12" s="6">
        <v>951</v>
      </c>
    </row>
    <row r="13" spans="1:5" ht="15" x14ac:dyDescent="0.25">
      <c r="A13" s="5" t="s">
        <v>13</v>
      </c>
      <c r="B13" s="6">
        <v>12618740</v>
      </c>
      <c r="C13" s="6">
        <v>3743642</v>
      </c>
      <c r="D13" s="6">
        <v>3741168</v>
      </c>
      <c r="E13" s="6">
        <v>2474</v>
      </c>
    </row>
    <row r="14" spans="1:5" ht="15" x14ac:dyDescent="0.25">
      <c r="A14" s="5" t="s">
        <v>14</v>
      </c>
      <c r="B14" s="6">
        <v>1249008</v>
      </c>
      <c r="C14" s="6">
        <v>386765</v>
      </c>
      <c r="D14" s="6">
        <v>379757</v>
      </c>
      <c r="E14" s="6">
        <v>7008</v>
      </c>
    </row>
    <row r="15" spans="1:5" ht="15" x14ac:dyDescent="0.25">
      <c r="A15" s="5" t="s">
        <v>15</v>
      </c>
      <c r="B15" s="6">
        <v>954542</v>
      </c>
      <c r="C15" s="6">
        <v>267800</v>
      </c>
      <c r="D15" s="6">
        <v>243656</v>
      </c>
      <c r="E15" s="6">
        <v>24144</v>
      </c>
    </row>
    <row r="16" spans="1:5" ht="15" x14ac:dyDescent="0.25">
      <c r="A16" s="5" t="s">
        <v>16</v>
      </c>
      <c r="B16" s="6">
        <v>218971</v>
      </c>
      <c r="C16" s="6">
        <v>62762</v>
      </c>
      <c r="D16" s="6">
        <v>9817</v>
      </c>
      <c r="E16" s="6">
        <v>52945</v>
      </c>
    </row>
    <row r="17" spans="1:5" ht="15" x14ac:dyDescent="0.25">
      <c r="A17" s="5" t="s">
        <v>17</v>
      </c>
      <c r="B17" s="6">
        <v>261139</v>
      </c>
      <c r="C17" s="6">
        <v>107983</v>
      </c>
      <c r="D17" s="6">
        <v>66488</v>
      </c>
      <c r="E17" s="6">
        <v>41495</v>
      </c>
    </row>
    <row r="18" spans="1:5" ht="15" x14ac:dyDescent="0.25">
      <c r="A18" s="5" t="s">
        <v>18</v>
      </c>
      <c r="B18" s="6">
        <v>3659143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1957134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35908</v>
      </c>
      <c r="C20" s="6">
        <v>4208</v>
      </c>
      <c r="D20" s="6" t="s">
        <v>8</v>
      </c>
      <c r="E20" s="6">
        <v>4208</v>
      </c>
    </row>
    <row r="21" spans="1:5" ht="15" x14ac:dyDescent="0.25">
      <c r="A21" s="5" t="s">
        <v>21</v>
      </c>
      <c r="B21" s="6">
        <v>312149</v>
      </c>
      <c r="C21" s="6">
        <v>111530</v>
      </c>
      <c r="D21" s="6">
        <v>20366</v>
      </c>
      <c r="E21" s="6">
        <v>91164</v>
      </c>
    </row>
    <row r="22" spans="1:5" ht="15" x14ac:dyDescent="0.25">
      <c r="A22" s="5" t="s">
        <v>22</v>
      </c>
      <c r="B22" s="6">
        <v>294796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2619375</v>
      </c>
      <c r="C23" s="6">
        <v>670127</v>
      </c>
      <c r="D23" s="6">
        <v>562511</v>
      </c>
      <c r="E23" s="6">
        <v>107616</v>
      </c>
    </row>
    <row r="24" spans="1:5" ht="15" x14ac:dyDescent="0.25">
      <c r="A24" s="5" t="s">
        <v>24</v>
      </c>
      <c r="B24" s="6">
        <v>1310771</v>
      </c>
      <c r="C24" s="6">
        <v>310202</v>
      </c>
      <c r="D24" s="6">
        <v>310202</v>
      </c>
      <c r="E24" s="6">
        <v>0</v>
      </c>
    </row>
    <row r="25" spans="1:5" ht="15" x14ac:dyDescent="0.25">
      <c r="A25" s="5" t="s">
        <v>25</v>
      </c>
      <c r="B25" s="6">
        <v>603260</v>
      </c>
      <c r="C25" s="6">
        <v>171270</v>
      </c>
      <c r="D25" s="6">
        <v>156133</v>
      </c>
      <c r="E25" s="6">
        <v>15137</v>
      </c>
    </row>
    <row r="26" spans="1:5" ht="15" x14ac:dyDescent="0.25">
      <c r="A26" s="5" t="s">
        <v>26</v>
      </c>
      <c r="B26" s="6">
        <v>363294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1294481</v>
      </c>
      <c r="C27" s="6">
        <v>450936</v>
      </c>
      <c r="D27" s="6">
        <v>450936</v>
      </c>
      <c r="E27" s="6">
        <v>0</v>
      </c>
    </row>
    <row r="28" spans="1:5" ht="15" x14ac:dyDescent="0.25">
      <c r="A28" s="5" t="s">
        <v>28</v>
      </c>
      <c r="B28" s="6">
        <v>1673188</v>
      </c>
      <c r="C28" s="6">
        <v>507668</v>
      </c>
      <c r="D28" s="6">
        <v>507668</v>
      </c>
      <c r="E28" s="6">
        <v>0</v>
      </c>
    </row>
    <row r="29" spans="1:5" ht="15" x14ac:dyDescent="0.25">
      <c r="A29" s="5" t="s">
        <v>29</v>
      </c>
      <c r="B29" s="6">
        <v>261086</v>
      </c>
      <c r="C29" s="6">
        <v>12210</v>
      </c>
      <c r="D29" s="6">
        <v>12210</v>
      </c>
      <c r="E29" s="6">
        <v>0</v>
      </c>
    </row>
    <row r="30" spans="1:5" ht="15" x14ac:dyDescent="0.25">
      <c r="A30" s="5" t="s">
        <v>30</v>
      </c>
      <c r="B30" s="6">
        <v>1222071</v>
      </c>
      <c r="C30" s="6">
        <v>310968</v>
      </c>
      <c r="D30" s="6">
        <v>310968</v>
      </c>
      <c r="E30" s="6">
        <v>0</v>
      </c>
    </row>
    <row r="31" spans="1:5" ht="15" x14ac:dyDescent="0.25">
      <c r="A31" s="5" t="s">
        <v>31</v>
      </c>
      <c r="B31" s="6">
        <v>1488230</v>
      </c>
      <c r="C31" s="6">
        <v>336784</v>
      </c>
      <c r="D31" s="6">
        <v>0</v>
      </c>
      <c r="E31" s="6">
        <v>336784</v>
      </c>
    </row>
    <row r="32" spans="1:5" ht="15" x14ac:dyDescent="0.25">
      <c r="A32" s="5" t="s">
        <v>32</v>
      </c>
      <c r="B32" s="6">
        <v>2435356</v>
      </c>
      <c r="C32" s="6">
        <v>698135</v>
      </c>
      <c r="D32" s="6">
        <v>645972</v>
      </c>
      <c r="E32" s="6">
        <v>52163</v>
      </c>
    </row>
    <row r="33" spans="1:5" ht="15" x14ac:dyDescent="0.25">
      <c r="A33" s="5" t="s">
        <v>33</v>
      </c>
      <c r="B33" s="6">
        <v>1043848</v>
      </c>
      <c r="C33" s="6">
        <v>187912</v>
      </c>
      <c r="D33" s="6">
        <v>186981</v>
      </c>
      <c r="E33" s="6">
        <v>931</v>
      </c>
    </row>
    <row r="34" spans="1:5" ht="15" x14ac:dyDescent="0.25">
      <c r="A34" s="5" t="s">
        <v>34</v>
      </c>
      <c r="B34" s="6">
        <v>674239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881755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255239</v>
      </c>
      <c r="C36" s="6">
        <v>98136</v>
      </c>
      <c r="D36" s="6">
        <v>98136</v>
      </c>
      <c r="E36" s="6">
        <v>0</v>
      </c>
    </row>
    <row r="37" spans="1:5" ht="15" x14ac:dyDescent="0.25">
      <c r="A37" s="5" t="s">
        <v>37</v>
      </c>
      <c r="B37" s="6">
        <v>16109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245217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587603</v>
      </c>
      <c r="C39" s="6">
        <v>209747</v>
      </c>
      <c r="D39" s="6">
        <v>209747</v>
      </c>
      <c r="E39" s="6">
        <v>0</v>
      </c>
    </row>
    <row r="40" spans="1:5" ht="15" x14ac:dyDescent="0.25">
      <c r="A40" s="5" t="s">
        <v>40</v>
      </c>
      <c r="B40" s="6">
        <v>184346</v>
      </c>
      <c r="C40" s="6">
        <v>54127</v>
      </c>
      <c r="D40" s="6">
        <v>53842</v>
      </c>
      <c r="E40" s="6">
        <v>285</v>
      </c>
    </row>
    <row r="41" spans="1:5" ht="15" x14ac:dyDescent="0.25">
      <c r="A41" s="5" t="s">
        <v>41</v>
      </c>
      <c r="B41" s="6">
        <v>1631808</v>
      </c>
      <c r="C41" s="6">
        <v>541972</v>
      </c>
      <c r="D41" s="6">
        <v>541972</v>
      </c>
      <c r="E41" s="6">
        <v>0</v>
      </c>
    </row>
    <row r="42" spans="1:5" ht="15" x14ac:dyDescent="0.25">
      <c r="A42" s="5" t="s">
        <v>42</v>
      </c>
      <c r="B42" s="6">
        <v>831563</v>
      </c>
      <c r="C42" s="6">
        <v>254692</v>
      </c>
      <c r="D42" s="6">
        <v>254692</v>
      </c>
      <c r="E42" s="6">
        <v>0</v>
      </c>
    </row>
    <row r="43" spans="1:5" ht="15" x14ac:dyDescent="0.25">
      <c r="A43" s="5" t="s">
        <v>43</v>
      </c>
      <c r="B43" s="6">
        <v>6130507</v>
      </c>
      <c r="C43" s="6">
        <v>1900628</v>
      </c>
      <c r="D43" s="6">
        <v>301942</v>
      </c>
      <c r="E43" s="6">
        <v>1598686</v>
      </c>
    </row>
    <row r="44" spans="1:5" ht="15" x14ac:dyDescent="0.25">
      <c r="A44" s="5" t="s">
        <v>44</v>
      </c>
      <c r="B44" s="6">
        <v>2162490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87694</v>
      </c>
      <c r="C45" s="6">
        <v>19140</v>
      </c>
      <c r="D45" s="6">
        <v>18275</v>
      </c>
      <c r="E45" s="6">
        <v>865</v>
      </c>
    </row>
    <row r="46" spans="1:5" ht="15" x14ac:dyDescent="0.25">
      <c r="A46" s="5" t="s">
        <v>46</v>
      </c>
      <c r="B46" s="6">
        <v>2838197</v>
      </c>
      <c r="C46" s="6">
        <v>559692</v>
      </c>
      <c r="D46" s="6">
        <v>559418</v>
      </c>
      <c r="E46" s="6">
        <v>274</v>
      </c>
    </row>
    <row r="47" spans="1:5" ht="15" x14ac:dyDescent="0.25">
      <c r="A47" s="5" t="s">
        <v>47</v>
      </c>
      <c r="B47" s="6">
        <v>637768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958743</v>
      </c>
      <c r="C48" s="6">
        <v>461893</v>
      </c>
      <c r="D48" s="6">
        <v>381390</v>
      </c>
      <c r="E48" s="6">
        <v>80503</v>
      </c>
    </row>
    <row r="49" spans="1:5" ht="15" x14ac:dyDescent="0.25">
      <c r="A49" s="5" t="s">
        <v>49</v>
      </c>
      <c r="B49" s="6">
        <v>2859228</v>
      </c>
      <c r="C49" s="6">
        <v>773138</v>
      </c>
      <c r="D49" s="6">
        <v>733961</v>
      </c>
      <c r="E49" s="6">
        <v>39177</v>
      </c>
    </row>
    <row r="50" spans="1:5" ht="15" x14ac:dyDescent="0.25">
      <c r="A50" s="5" t="s">
        <v>50</v>
      </c>
      <c r="B50" s="6">
        <v>1221409</v>
      </c>
      <c r="C50" s="6">
        <v>410628</v>
      </c>
      <c r="D50" s="6" t="s">
        <v>8</v>
      </c>
      <c r="E50" s="6">
        <v>410628</v>
      </c>
    </row>
    <row r="51" spans="1:5" ht="15" x14ac:dyDescent="0.25">
      <c r="A51" s="5" t="s">
        <v>51</v>
      </c>
      <c r="B51" s="6">
        <v>303148</v>
      </c>
      <c r="C51" s="6">
        <v>66446</v>
      </c>
      <c r="D51" s="6">
        <v>66446</v>
      </c>
      <c r="E51" s="6">
        <v>0</v>
      </c>
    </row>
    <row r="52" spans="1:5" ht="15" x14ac:dyDescent="0.25">
      <c r="A52" s="5" t="s">
        <v>52</v>
      </c>
      <c r="B52" s="6">
        <v>1269811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104328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1545499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4194517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287277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169458</v>
      </c>
      <c r="C57" s="6">
        <v>55799</v>
      </c>
      <c r="D57" s="6">
        <v>0</v>
      </c>
      <c r="E57" s="6">
        <v>55799</v>
      </c>
    </row>
    <row r="58" spans="1:5" ht="15" x14ac:dyDescent="0.25">
      <c r="A58" s="5" t="s">
        <v>58</v>
      </c>
      <c r="B58" s="6">
        <v>28363</v>
      </c>
      <c r="C58" s="6">
        <v>13100</v>
      </c>
      <c r="D58" s="6" t="s">
        <v>8</v>
      </c>
      <c r="E58" s="6">
        <v>13100</v>
      </c>
    </row>
    <row r="59" spans="1:5" ht="15" x14ac:dyDescent="0.25">
      <c r="A59" s="5" t="s">
        <v>59</v>
      </c>
      <c r="B59" s="6">
        <v>1432250</v>
      </c>
      <c r="C59" s="6">
        <v>237165</v>
      </c>
      <c r="D59" s="6">
        <v>237165</v>
      </c>
      <c r="E59" s="6">
        <v>0</v>
      </c>
    </row>
    <row r="60" spans="1:5" ht="15" x14ac:dyDescent="0.25">
      <c r="A60" s="5" t="s">
        <v>60</v>
      </c>
      <c r="B60" s="6">
        <v>1737288</v>
      </c>
      <c r="C60" s="6">
        <v>555549</v>
      </c>
      <c r="D60" s="6">
        <v>541176</v>
      </c>
      <c r="E60" s="6">
        <v>14373</v>
      </c>
    </row>
    <row r="61" spans="1:5" ht="15" x14ac:dyDescent="0.25">
      <c r="A61" s="5" t="s">
        <v>61</v>
      </c>
      <c r="B61" s="6">
        <v>521854</v>
      </c>
      <c r="C61" s="6">
        <v>161259</v>
      </c>
      <c r="D61" s="6">
        <v>161259</v>
      </c>
      <c r="E61" s="6">
        <v>0</v>
      </c>
    </row>
    <row r="62" spans="1:5" ht="15" x14ac:dyDescent="0.25">
      <c r="A62" s="5" t="s">
        <v>62</v>
      </c>
      <c r="B62" s="6">
        <v>1178290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54597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74877560</v>
      </c>
      <c r="C64" s="8">
        <f>SUM(C8:C63)</f>
        <v>15439030</v>
      </c>
      <c r="D64" s="8">
        <f>SUM(D8:D63)</f>
        <v>12169607</v>
      </c>
      <c r="E64" s="8">
        <f>SUM(E8:E63)</f>
        <v>3269423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2602-ECE9-4CA5-8A59-FA0DEEE88914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99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1030917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206677</v>
      </c>
      <c r="C9" s="6">
        <v>51144</v>
      </c>
      <c r="D9" s="6">
        <v>51130</v>
      </c>
      <c r="E9" s="6">
        <v>14</v>
      </c>
    </row>
    <row r="10" spans="1:5" ht="15" x14ac:dyDescent="0.25">
      <c r="A10" s="5" t="s">
        <v>87</v>
      </c>
      <c r="B10" s="6">
        <v>37829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1876550</v>
      </c>
      <c r="C11" s="6">
        <v>427072</v>
      </c>
      <c r="D11" s="6">
        <v>107443</v>
      </c>
      <c r="E11" s="6">
        <v>319629</v>
      </c>
    </row>
    <row r="12" spans="1:5" ht="15" x14ac:dyDescent="0.25">
      <c r="A12" s="5" t="s">
        <v>12</v>
      </c>
      <c r="B12" s="6">
        <v>829466</v>
      </c>
      <c r="C12" s="6">
        <v>250832</v>
      </c>
      <c r="D12" s="6">
        <v>249912</v>
      </c>
      <c r="E12" s="6">
        <v>920</v>
      </c>
    </row>
    <row r="13" spans="1:5" ht="15" x14ac:dyDescent="0.25">
      <c r="A13" s="5" t="s">
        <v>13</v>
      </c>
      <c r="B13" s="6">
        <v>12693315</v>
      </c>
      <c r="C13" s="6">
        <v>3768859</v>
      </c>
      <c r="D13" s="6">
        <v>3762176</v>
      </c>
      <c r="E13" s="6">
        <v>6683</v>
      </c>
    </row>
    <row r="14" spans="1:5" ht="15" x14ac:dyDescent="0.25">
      <c r="A14" s="5" t="s">
        <v>14</v>
      </c>
      <c r="B14" s="6">
        <v>1235646</v>
      </c>
      <c r="C14" s="6">
        <v>378962</v>
      </c>
      <c r="D14" s="6">
        <v>371819</v>
      </c>
      <c r="E14" s="6">
        <v>7143</v>
      </c>
    </row>
    <row r="15" spans="1:5" ht="15" x14ac:dyDescent="0.25">
      <c r="A15" s="5" t="s">
        <v>15</v>
      </c>
      <c r="B15" s="6">
        <v>950722</v>
      </c>
      <c r="C15" s="6">
        <v>266719</v>
      </c>
      <c r="D15" s="6">
        <v>242640</v>
      </c>
      <c r="E15" s="6">
        <v>24079</v>
      </c>
    </row>
    <row r="16" spans="1:5" ht="15" x14ac:dyDescent="0.25">
      <c r="A16" s="5" t="s">
        <v>16</v>
      </c>
      <c r="B16" s="6">
        <v>218611</v>
      </c>
      <c r="C16" s="6">
        <v>62534</v>
      </c>
      <c r="D16" s="6">
        <v>9593</v>
      </c>
      <c r="E16" s="6">
        <v>52941</v>
      </c>
    </row>
    <row r="17" spans="1:5" ht="15" x14ac:dyDescent="0.25">
      <c r="A17" s="5" t="s">
        <v>17</v>
      </c>
      <c r="B17" s="6">
        <v>260916</v>
      </c>
      <c r="C17" s="6">
        <v>107772</v>
      </c>
      <c r="D17" s="6">
        <v>66510</v>
      </c>
      <c r="E17" s="6">
        <v>41262</v>
      </c>
    </row>
    <row r="18" spans="1:5" ht="15" x14ac:dyDescent="0.25">
      <c r="A18" s="5" t="s">
        <v>18</v>
      </c>
      <c r="B18" s="6">
        <v>3813445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1960778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35865</v>
      </c>
      <c r="C20" s="6">
        <v>4216</v>
      </c>
      <c r="D20" s="6" t="s">
        <v>8</v>
      </c>
      <c r="E20" s="6">
        <v>4216</v>
      </c>
    </row>
    <row r="21" spans="1:5" ht="15" x14ac:dyDescent="0.25">
      <c r="A21" s="5" t="s">
        <v>21</v>
      </c>
      <c r="B21" s="6">
        <v>310597</v>
      </c>
      <c r="C21" s="6">
        <v>110678</v>
      </c>
      <c r="D21" s="6">
        <v>20114</v>
      </c>
      <c r="E21" s="6">
        <v>90564</v>
      </c>
    </row>
    <row r="22" spans="1:5" ht="15" x14ac:dyDescent="0.25">
      <c r="A22" s="5" t="s">
        <v>22</v>
      </c>
      <c r="B22" s="6">
        <v>297787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2611653</v>
      </c>
      <c r="C23" s="6">
        <v>669227</v>
      </c>
      <c r="D23" s="6">
        <v>561633</v>
      </c>
      <c r="E23" s="6">
        <v>107594</v>
      </c>
    </row>
    <row r="24" spans="1:5" ht="15" x14ac:dyDescent="0.25">
      <c r="A24" s="5" t="s">
        <v>24</v>
      </c>
      <c r="B24" s="6">
        <v>1336106</v>
      </c>
      <c r="C24" s="6">
        <v>313191</v>
      </c>
      <c r="D24" s="6">
        <v>313191</v>
      </c>
      <c r="E24" s="6">
        <v>0</v>
      </c>
    </row>
    <row r="25" spans="1:5" ht="15" x14ac:dyDescent="0.25">
      <c r="A25" s="5" t="s">
        <v>25</v>
      </c>
      <c r="B25" s="6">
        <v>606174</v>
      </c>
      <c r="C25" s="6">
        <v>172153</v>
      </c>
      <c r="D25" s="6">
        <v>157036</v>
      </c>
      <c r="E25" s="6">
        <v>15117</v>
      </c>
    </row>
    <row r="26" spans="1:5" ht="15" x14ac:dyDescent="0.25">
      <c r="A26" s="5" t="s">
        <v>26</v>
      </c>
      <c r="B26" s="6">
        <v>354789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1288626</v>
      </c>
      <c r="C27" s="6">
        <v>449500</v>
      </c>
      <c r="D27" s="6">
        <v>449500</v>
      </c>
      <c r="E27" s="6">
        <v>0</v>
      </c>
    </row>
    <row r="28" spans="1:5" ht="15" x14ac:dyDescent="0.25">
      <c r="A28" s="5" t="s">
        <v>28</v>
      </c>
      <c r="B28" s="6">
        <v>1633613</v>
      </c>
      <c r="C28" s="6">
        <v>478930</v>
      </c>
      <c r="D28" s="6">
        <v>478930</v>
      </c>
      <c r="E28" s="6">
        <v>0</v>
      </c>
    </row>
    <row r="29" spans="1:5" ht="15" x14ac:dyDescent="0.25">
      <c r="A29" s="5" t="s">
        <v>29</v>
      </c>
      <c r="B29" s="6">
        <v>262988</v>
      </c>
      <c r="C29" s="6">
        <v>19812</v>
      </c>
      <c r="D29" s="6">
        <v>15399</v>
      </c>
      <c r="E29" s="6">
        <v>4413</v>
      </c>
    </row>
    <row r="30" spans="1:5" ht="15" x14ac:dyDescent="0.25">
      <c r="A30" s="5" t="s">
        <v>30</v>
      </c>
      <c r="B30" s="6">
        <v>1224567</v>
      </c>
      <c r="C30" s="6">
        <v>309844</v>
      </c>
      <c r="D30" s="6">
        <v>309844</v>
      </c>
      <c r="E30" s="6">
        <v>0</v>
      </c>
    </row>
    <row r="31" spans="1:5" ht="15" x14ac:dyDescent="0.25">
      <c r="A31" s="5" t="s">
        <v>31</v>
      </c>
      <c r="B31" s="6">
        <v>1442299</v>
      </c>
      <c r="C31" s="6">
        <v>334027</v>
      </c>
      <c r="D31" s="6">
        <v>0</v>
      </c>
      <c r="E31" s="6">
        <v>334027</v>
      </c>
    </row>
    <row r="32" spans="1:5" ht="15" x14ac:dyDescent="0.25">
      <c r="A32" s="5" t="s">
        <v>32</v>
      </c>
      <c r="B32" s="6">
        <v>2419259</v>
      </c>
      <c r="C32" s="6">
        <v>690711</v>
      </c>
      <c r="D32" s="6">
        <v>639880</v>
      </c>
      <c r="E32" s="6">
        <v>50831</v>
      </c>
    </row>
    <row r="33" spans="1:5" ht="15" x14ac:dyDescent="0.25">
      <c r="A33" s="5" t="s">
        <v>33</v>
      </c>
      <c r="B33" s="6">
        <v>1073560</v>
      </c>
      <c r="C33" s="6">
        <v>193826</v>
      </c>
      <c r="D33" s="6">
        <v>193000</v>
      </c>
      <c r="E33" s="6">
        <v>826</v>
      </c>
    </row>
    <row r="34" spans="1:5" ht="15" x14ac:dyDescent="0.25">
      <c r="A34" s="5" t="s">
        <v>34</v>
      </c>
      <c r="B34" s="6">
        <v>674544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870719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257505</v>
      </c>
      <c r="C36" s="6">
        <v>98741</v>
      </c>
      <c r="D36" s="6">
        <v>98741</v>
      </c>
      <c r="E36" s="6">
        <v>0</v>
      </c>
    </row>
    <row r="37" spans="1:5" ht="15" x14ac:dyDescent="0.25">
      <c r="A37" s="5" t="s">
        <v>37</v>
      </c>
      <c r="B37" s="6">
        <v>16229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245121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589216</v>
      </c>
      <c r="C39" s="6">
        <v>210608</v>
      </c>
      <c r="D39" s="6">
        <v>210608</v>
      </c>
      <c r="E39" s="6">
        <v>0</v>
      </c>
    </row>
    <row r="40" spans="1:5" ht="15" x14ac:dyDescent="0.25">
      <c r="A40" s="5" t="s">
        <v>40</v>
      </c>
      <c r="B40" s="6">
        <v>183038</v>
      </c>
      <c r="C40" s="6">
        <v>53424</v>
      </c>
      <c r="D40" s="6">
        <v>53138</v>
      </c>
      <c r="E40" s="6">
        <v>286</v>
      </c>
    </row>
    <row r="41" spans="1:5" ht="15" x14ac:dyDescent="0.25">
      <c r="A41" s="5" t="s">
        <v>41</v>
      </c>
      <c r="B41" s="6">
        <v>1620134</v>
      </c>
      <c r="C41" s="6">
        <v>537233</v>
      </c>
      <c r="D41" s="6">
        <v>537233</v>
      </c>
      <c r="E41" s="6">
        <v>0</v>
      </c>
    </row>
    <row r="42" spans="1:5" ht="15" x14ac:dyDescent="0.25">
      <c r="A42" s="5" t="s">
        <v>42</v>
      </c>
      <c r="B42" s="6">
        <v>834204</v>
      </c>
      <c r="C42" s="6">
        <v>258061</v>
      </c>
      <c r="D42" s="6">
        <v>258061</v>
      </c>
      <c r="E42" s="6">
        <v>0</v>
      </c>
    </row>
    <row r="43" spans="1:5" ht="15" x14ac:dyDescent="0.25">
      <c r="A43" s="5" t="s">
        <v>43</v>
      </c>
      <c r="B43" s="6">
        <v>6116056</v>
      </c>
      <c r="C43" s="6">
        <v>1895526</v>
      </c>
      <c r="D43" s="6">
        <v>301806</v>
      </c>
      <c r="E43" s="6">
        <v>1593720</v>
      </c>
    </row>
    <row r="44" spans="1:5" ht="15" x14ac:dyDescent="0.25">
      <c r="A44" s="5" t="s">
        <v>44</v>
      </c>
      <c r="B44" s="6">
        <v>2154624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91090</v>
      </c>
      <c r="C45" s="6">
        <v>20369</v>
      </c>
      <c r="D45" s="6">
        <v>19419</v>
      </c>
      <c r="E45" s="6">
        <v>950</v>
      </c>
    </row>
    <row r="46" spans="1:5" ht="15" x14ac:dyDescent="0.25">
      <c r="A46" s="5" t="s">
        <v>46</v>
      </c>
      <c r="B46" s="6">
        <v>2828477</v>
      </c>
      <c r="C46" s="6">
        <v>555348</v>
      </c>
      <c r="D46" s="6">
        <v>555079</v>
      </c>
      <c r="E46" s="6">
        <v>269</v>
      </c>
    </row>
    <row r="47" spans="1:5" ht="15" x14ac:dyDescent="0.25">
      <c r="A47" s="5" t="s">
        <v>47</v>
      </c>
      <c r="B47" s="6">
        <v>639764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967318</v>
      </c>
      <c r="C48" s="6">
        <v>466720</v>
      </c>
      <c r="D48" s="6">
        <v>385249</v>
      </c>
      <c r="E48" s="6">
        <v>81471</v>
      </c>
    </row>
    <row r="49" spans="1:5" ht="15" x14ac:dyDescent="0.25">
      <c r="A49" s="5" t="s">
        <v>49</v>
      </c>
      <c r="B49" s="6">
        <v>2868594</v>
      </c>
      <c r="C49" s="6">
        <v>775938</v>
      </c>
      <c r="D49" s="6">
        <v>736553</v>
      </c>
      <c r="E49" s="6">
        <v>39385</v>
      </c>
    </row>
    <row r="50" spans="1:5" ht="15" x14ac:dyDescent="0.25">
      <c r="A50" s="5" t="s">
        <v>50</v>
      </c>
      <c r="B50" s="6">
        <v>1240935</v>
      </c>
      <c r="C50" s="6">
        <v>424284</v>
      </c>
      <c r="D50" s="6" t="s">
        <v>8</v>
      </c>
      <c r="E50" s="6">
        <v>424284</v>
      </c>
    </row>
    <row r="51" spans="1:5" ht="15" x14ac:dyDescent="0.25">
      <c r="A51" s="5" t="s">
        <v>51</v>
      </c>
      <c r="B51" s="6">
        <v>301535</v>
      </c>
      <c r="C51" s="6">
        <v>66641</v>
      </c>
      <c r="D51" s="6">
        <v>66641</v>
      </c>
      <c r="E51" s="6">
        <v>0</v>
      </c>
    </row>
    <row r="52" spans="1:5" ht="15" x14ac:dyDescent="0.25">
      <c r="A52" s="5" t="s">
        <v>52</v>
      </c>
      <c r="B52" s="6">
        <v>1266461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104303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1575689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4152831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291922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168482</v>
      </c>
      <c r="C57" s="6">
        <v>55431</v>
      </c>
      <c r="D57" s="6">
        <v>0</v>
      </c>
      <c r="E57" s="6">
        <v>55431</v>
      </c>
    </row>
    <row r="58" spans="1:5" ht="15" x14ac:dyDescent="0.25">
      <c r="A58" s="5" t="s">
        <v>58</v>
      </c>
      <c r="B58" s="6">
        <v>28626</v>
      </c>
      <c r="C58" s="6">
        <v>13248</v>
      </c>
      <c r="D58" s="6" t="s">
        <v>8</v>
      </c>
      <c r="E58" s="6">
        <v>13248</v>
      </c>
    </row>
    <row r="59" spans="1:5" ht="15" x14ac:dyDescent="0.25">
      <c r="A59" s="5" t="s">
        <v>59</v>
      </c>
      <c r="B59" s="6">
        <v>1470849</v>
      </c>
      <c r="C59" s="6">
        <v>255592</v>
      </c>
      <c r="D59" s="6">
        <v>255592</v>
      </c>
      <c r="E59" s="6">
        <v>0</v>
      </c>
    </row>
    <row r="60" spans="1:5" ht="15" x14ac:dyDescent="0.25">
      <c r="A60" s="5" t="s">
        <v>60</v>
      </c>
      <c r="B60" s="6">
        <v>1738596</v>
      </c>
      <c r="C60" s="6">
        <v>553306</v>
      </c>
      <c r="D60" s="6">
        <v>539068</v>
      </c>
      <c r="E60" s="6">
        <v>14238</v>
      </c>
    </row>
    <row r="61" spans="1:5" ht="15" x14ac:dyDescent="0.25">
      <c r="A61" s="5" t="s">
        <v>61</v>
      </c>
      <c r="B61" s="6">
        <v>522250</v>
      </c>
      <c r="C61" s="6">
        <v>161591</v>
      </c>
      <c r="D61" s="6">
        <v>161591</v>
      </c>
      <c r="E61" s="6">
        <v>0</v>
      </c>
    </row>
    <row r="62" spans="1:5" ht="15" x14ac:dyDescent="0.25">
      <c r="A62" s="5" t="s">
        <v>62</v>
      </c>
      <c r="B62" s="6">
        <v>1183431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55709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75071007</v>
      </c>
      <c r="C64" s="8">
        <f>SUM(C8:C63)</f>
        <v>15462070</v>
      </c>
      <c r="D64" s="8">
        <f>SUM(D8:D63)</f>
        <v>12178529</v>
      </c>
      <c r="E64" s="8">
        <f>SUM(E8:E63)</f>
        <v>3283541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07E8-1667-4B8E-9294-5A6EDB11DD6E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100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1033498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206036</v>
      </c>
      <c r="C9" s="6">
        <v>51347</v>
      </c>
      <c r="D9" s="6">
        <v>51330</v>
      </c>
      <c r="E9" s="6">
        <v>17</v>
      </c>
    </row>
    <row r="10" spans="1:5" ht="15" x14ac:dyDescent="0.25">
      <c r="A10" s="5" t="s">
        <v>87</v>
      </c>
      <c r="B10" s="6">
        <v>37829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1871082</v>
      </c>
      <c r="C11" s="6">
        <v>425811</v>
      </c>
      <c r="D11" s="6">
        <v>107086</v>
      </c>
      <c r="E11" s="6">
        <v>318725</v>
      </c>
    </row>
    <row r="12" spans="1:5" ht="15" x14ac:dyDescent="0.25">
      <c r="A12" s="5" t="s">
        <v>12</v>
      </c>
      <c r="B12" s="6">
        <v>822617</v>
      </c>
      <c r="C12" s="6">
        <v>249308</v>
      </c>
      <c r="D12" s="6">
        <v>248377</v>
      </c>
      <c r="E12" s="6">
        <v>931</v>
      </c>
    </row>
    <row r="13" spans="1:5" ht="15" x14ac:dyDescent="0.25">
      <c r="A13" s="5" t="s">
        <v>13</v>
      </c>
      <c r="B13" s="6">
        <v>12611814</v>
      </c>
      <c r="C13" s="6">
        <v>3741920</v>
      </c>
      <c r="D13" s="6">
        <v>3732198</v>
      </c>
      <c r="E13" s="6">
        <v>9722</v>
      </c>
    </row>
    <row r="14" spans="1:5" ht="15" x14ac:dyDescent="0.25">
      <c r="A14" s="5" t="s">
        <v>14</v>
      </c>
      <c r="B14" s="6">
        <v>1235211</v>
      </c>
      <c r="C14" s="6">
        <v>379544</v>
      </c>
      <c r="D14" s="6">
        <v>372306</v>
      </c>
      <c r="E14" s="6">
        <v>7238</v>
      </c>
    </row>
    <row r="15" spans="1:5" ht="15" x14ac:dyDescent="0.25">
      <c r="A15" s="5" t="s">
        <v>15</v>
      </c>
      <c r="B15" s="6">
        <v>955463</v>
      </c>
      <c r="C15" s="6">
        <v>267707</v>
      </c>
      <c r="D15" s="6">
        <v>243615</v>
      </c>
      <c r="E15" s="6">
        <v>24092</v>
      </c>
    </row>
    <row r="16" spans="1:5" ht="15" x14ac:dyDescent="0.25">
      <c r="A16" s="5" t="s">
        <v>16</v>
      </c>
      <c r="B16" s="6">
        <v>218326</v>
      </c>
      <c r="C16" s="6">
        <v>62429</v>
      </c>
      <c r="D16" s="6">
        <v>9542</v>
      </c>
      <c r="E16" s="6">
        <v>52887</v>
      </c>
    </row>
    <row r="17" spans="1:5" ht="15" x14ac:dyDescent="0.25">
      <c r="A17" s="5" t="s">
        <v>17</v>
      </c>
      <c r="B17" s="6">
        <v>260350</v>
      </c>
      <c r="C17" s="6">
        <v>107478</v>
      </c>
      <c r="D17" s="6">
        <v>66313</v>
      </c>
      <c r="E17" s="6">
        <v>41165</v>
      </c>
    </row>
    <row r="18" spans="1:5" ht="15" x14ac:dyDescent="0.25">
      <c r="A18" s="5" t="s">
        <v>18</v>
      </c>
      <c r="B18" s="6">
        <v>3800560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1965793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35692</v>
      </c>
      <c r="C20" s="6">
        <v>4193</v>
      </c>
      <c r="D20" s="6" t="s">
        <v>8</v>
      </c>
      <c r="E20" s="6">
        <v>4193</v>
      </c>
    </row>
    <row r="21" spans="1:5" ht="15" x14ac:dyDescent="0.25">
      <c r="A21" s="5" t="s">
        <v>21</v>
      </c>
      <c r="B21" s="6">
        <v>308739</v>
      </c>
      <c r="C21" s="6">
        <v>110089</v>
      </c>
      <c r="D21" s="6">
        <v>19919</v>
      </c>
      <c r="E21" s="6">
        <v>90170</v>
      </c>
    </row>
    <row r="22" spans="1:5" ht="15" x14ac:dyDescent="0.25">
      <c r="A22" s="5" t="s">
        <v>22</v>
      </c>
      <c r="B22" s="6">
        <v>298643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2592841</v>
      </c>
      <c r="C23" s="6">
        <v>661292</v>
      </c>
      <c r="D23" s="6">
        <v>553675</v>
      </c>
      <c r="E23" s="6">
        <v>107617</v>
      </c>
    </row>
    <row r="24" spans="1:5" ht="15" x14ac:dyDescent="0.25">
      <c r="A24" s="5" t="s">
        <v>24</v>
      </c>
      <c r="B24" s="6">
        <v>1323990</v>
      </c>
      <c r="C24" s="6">
        <v>313049</v>
      </c>
      <c r="D24" s="6">
        <v>313049</v>
      </c>
      <c r="E24" s="6">
        <v>0</v>
      </c>
    </row>
    <row r="25" spans="1:5" ht="15" x14ac:dyDescent="0.25">
      <c r="A25" s="5" t="s">
        <v>25</v>
      </c>
      <c r="B25" s="6">
        <v>605338</v>
      </c>
      <c r="C25" s="6">
        <v>172015</v>
      </c>
      <c r="D25" s="6">
        <v>157117</v>
      </c>
      <c r="E25" s="6">
        <v>14898</v>
      </c>
    </row>
    <row r="26" spans="1:5" ht="15" x14ac:dyDescent="0.25">
      <c r="A26" s="5" t="s">
        <v>26</v>
      </c>
      <c r="B26" s="6">
        <v>350174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1290594</v>
      </c>
      <c r="C27" s="6">
        <v>450702</v>
      </c>
      <c r="D27" s="6">
        <v>450702</v>
      </c>
      <c r="E27" s="6">
        <v>0</v>
      </c>
    </row>
    <row r="28" spans="1:5" ht="15" x14ac:dyDescent="0.25">
      <c r="A28" s="5" t="s">
        <v>28</v>
      </c>
      <c r="B28" s="6">
        <v>1618198</v>
      </c>
      <c r="C28" s="6">
        <v>468309</v>
      </c>
      <c r="D28" s="6">
        <v>468309</v>
      </c>
      <c r="E28" s="6">
        <v>0</v>
      </c>
    </row>
    <row r="29" spans="1:5" ht="15" x14ac:dyDescent="0.25">
      <c r="A29" s="5" t="s">
        <v>29</v>
      </c>
      <c r="B29" s="6">
        <v>268056</v>
      </c>
      <c r="C29" s="6">
        <v>24824</v>
      </c>
      <c r="D29" s="6">
        <v>18981</v>
      </c>
      <c r="E29" s="6">
        <v>5843</v>
      </c>
    </row>
    <row r="30" spans="1:5" ht="15" x14ac:dyDescent="0.25">
      <c r="A30" s="5" t="s">
        <v>30</v>
      </c>
      <c r="B30" s="6">
        <v>1227887</v>
      </c>
      <c r="C30" s="6">
        <v>310074</v>
      </c>
      <c r="D30" s="6">
        <v>310074</v>
      </c>
      <c r="E30" s="6">
        <v>0</v>
      </c>
    </row>
    <row r="31" spans="1:5" ht="15" x14ac:dyDescent="0.25">
      <c r="A31" s="5" t="s">
        <v>31</v>
      </c>
      <c r="B31" s="6">
        <v>1452226</v>
      </c>
      <c r="C31" s="6">
        <v>335973</v>
      </c>
      <c r="D31" s="6">
        <v>0</v>
      </c>
      <c r="E31" s="6">
        <v>335973</v>
      </c>
    </row>
    <row r="32" spans="1:5" ht="15" x14ac:dyDescent="0.25">
      <c r="A32" s="5" t="s">
        <v>32</v>
      </c>
      <c r="B32" s="6">
        <v>2402672</v>
      </c>
      <c r="C32" s="6">
        <v>680631</v>
      </c>
      <c r="D32" s="6">
        <v>632048</v>
      </c>
      <c r="E32" s="6">
        <v>48583</v>
      </c>
    </row>
    <row r="33" spans="1:5" ht="15" x14ac:dyDescent="0.25">
      <c r="A33" s="5" t="s">
        <v>33</v>
      </c>
      <c r="B33" s="6">
        <v>1060628</v>
      </c>
      <c r="C33" s="6">
        <v>190089</v>
      </c>
      <c r="D33" s="6">
        <v>189186</v>
      </c>
      <c r="E33" s="6">
        <v>903</v>
      </c>
    </row>
    <row r="34" spans="1:5" ht="15" x14ac:dyDescent="0.25">
      <c r="A34" s="5" t="s">
        <v>34</v>
      </c>
      <c r="B34" s="6">
        <v>674961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858822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255804</v>
      </c>
      <c r="C36" s="6">
        <v>97544</v>
      </c>
      <c r="D36" s="6">
        <v>97544</v>
      </c>
      <c r="E36" s="6">
        <v>0</v>
      </c>
    </row>
    <row r="37" spans="1:5" ht="15" x14ac:dyDescent="0.25">
      <c r="A37" s="5" t="s">
        <v>37</v>
      </c>
      <c r="B37" s="6">
        <v>16446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243894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588394</v>
      </c>
      <c r="C39" s="6">
        <v>210158</v>
      </c>
      <c r="D39" s="6">
        <v>210158</v>
      </c>
      <c r="E39" s="6">
        <v>0</v>
      </c>
    </row>
    <row r="40" spans="1:5" ht="15" x14ac:dyDescent="0.25">
      <c r="A40" s="5" t="s">
        <v>40</v>
      </c>
      <c r="B40" s="6">
        <v>182244</v>
      </c>
      <c r="C40" s="6">
        <v>52903</v>
      </c>
      <c r="D40" s="6">
        <v>52622</v>
      </c>
      <c r="E40" s="6">
        <v>281</v>
      </c>
    </row>
    <row r="41" spans="1:5" ht="15" x14ac:dyDescent="0.25">
      <c r="A41" s="5" t="s">
        <v>41</v>
      </c>
      <c r="B41" s="6">
        <v>1604005</v>
      </c>
      <c r="C41" s="6">
        <v>531061</v>
      </c>
      <c r="D41" s="6">
        <v>531061</v>
      </c>
      <c r="E41" s="6">
        <v>0</v>
      </c>
    </row>
    <row r="42" spans="1:5" ht="15" x14ac:dyDescent="0.25">
      <c r="A42" s="5" t="s">
        <v>42</v>
      </c>
      <c r="B42" s="6">
        <v>831546</v>
      </c>
      <c r="C42" s="6">
        <v>257784</v>
      </c>
      <c r="D42" s="6">
        <v>257784</v>
      </c>
      <c r="E42" s="6">
        <v>0</v>
      </c>
    </row>
    <row r="43" spans="1:5" ht="15" x14ac:dyDescent="0.25">
      <c r="A43" s="5" t="s">
        <v>43</v>
      </c>
      <c r="B43" s="6">
        <v>6102146</v>
      </c>
      <c r="C43" s="6">
        <v>1890873</v>
      </c>
      <c r="D43" s="6">
        <v>301778</v>
      </c>
      <c r="E43" s="6">
        <v>1589095</v>
      </c>
    </row>
    <row r="44" spans="1:5" ht="15" x14ac:dyDescent="0.25">
      <c r="A44" s="5" t="s">
        <v>44</v>
      </c>
      <c r="B44" s="6">
        <v>2141148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89590</v>
      </c>
      <c r="C45" s="6">
        <v>19908</v>
      </c>
      <c r="D45" s="6">
        <v>18981</v>
      </c>
      <c r="E45" s="6">
        <v>927</v>
      </c>
    </row>
    <row r="46" spans="1:5" ht="15" x14ac:dyDescent="0.25">
      <c r="A46" s="5" t="s">
        <v>46</v>
      </c>
      <c r="B46" s="6">
        <v>2808448</v>
      </c>
      <c r="C46" s="6">
        <v>546779</v>
      </c>
      <c r="D46" s="6">
        <v>546532</v>
      </c>
      <c r="E46" s="6">
        <v>247</v>
      </c>
    </row>
    <row r="47" spans="1:5" ht="15" x14ac:dyDescent="0.25">
      <c r="A47" s="5" t="s">
        <v>47</v>
      </c>
      <c r="B47" s="6">
        <v>642886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963477</v>
      </c>
      <c r="C48" s="6">
        <v>464391</v>
      </c>
      <c r="D48" s="6">
        <v>382716</v>
      </c>
      <c r="E48" s="6">
        <v>81675</v>
      </c>
    </row>
    <row r="49" spans="1:5" ht="15" x14ac:dyDescent="0.25">
      <c r="A49" s="5" t="s">
        <v>49</v>
      </c>
      <c r="B49" s="6">
        <v>2859247</v>
      </c>
      <c r="C49" s="6">
        <v>771932</v>
      </c>
      <c r="D49" s="6">
        <v>732808</v>
      </c>
      <c r="E49" s="6">
        <v>39124</v>
      </c>
    </row>
    <row r="50" spans="1:5" ht="15" x14ac:dyDescent="0.25">
      <c r="A50" s="5" t="s">
        <v>50</v>
      </c>
      <c r="B50" s="6">
        <v>1243952</v>
      </c>
      <c r="C50" s="6">
        <v>430749</v>
      </c>
      <c r="D50" s="6" t="s">
        <v>8</v>
      </c>
      <c r="E50" s="6">
        <v>430749</v>
      </c>
    </row>
    <row r="51" spans="1:5" ht="15" x14ac:dyDescent="0.25">
      <c r="A51" s="5" t="s">
        <v>51</v>
      </c>
      <c r="B51" s="6">
        <v>300737</v>
      </c>
      <c r="C51" s="6">
        <v>66236</v>
      </c>
      <c r="D51" s="6">
        <v>66236</v>
      </c>
      <c r="E51" s="6">
        <v>0</v>
      </c>
    </row>
    <row r="52" spans="1:5" ht="15" x14ac:dyDescent="0.25">
      <c r="A52" s="5" t="s">
        <v>52</v>
      </c>
      <c r="B52" s="6">
        <v>1260731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104691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1584270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4120865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292719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168055</v>
      </c>
      <c r="C57" s="6">
        <v>55333</v>
      </c>
      <c r="D57" s="6">
        <v>0</v>
      </c>
      <c r="E57" s="6">
        <v>55333</v>
      </c>
    </row>
    <row r="58" spans="1:5" ht="15" x14ac:dyDescent="0.25">
      <c r="A58" s="5" t="s">
        <v>58</v>
      </c>
      <c r="B58" s="6">
        <v>28835</v>
      </c>
      <c r="C58" s="6">
        <v>13376</v>
      </c>
      <c r="D58" s="6" t="s">
        <v>8</v>
      </c>
      <c r="E58" s="6">
        <v>13376</v>
      </c>
    </row>
    <row r="59" spans="1:5" ht="15" x14ac:dyDescent="0.25">
      <c r="A59" s="5" t="s">
        <v>59</v>
      </c>
      <c r="B59" s="6">
        <v>1502380</v>
      </c>
      <c r="C59" s="6">
        <v>271023</v>
      </c>
      <c r="D59" s="6">
        <v>271023</v>
      </c>
      <c r="E59" s="6">
        <v>0</v>
      </c>
    </row>
    <row r="60" spans="1:5" ht="15" x14ac:dyDescent="0.25">
      <c r="A60" s="5" t="s">
        <v>60</v>
      </c>
      <c r="B60" s="6">
        <v>1727989</v>
      </c>
      <c r="C60" s="6">
        <v>550819</v>
      </c>
      <c r="D60" s="6">
        <v>536515</v>
      </c>
      <c r="E60" s="6">
        <v>14304</v>
      </c>
    </row>
    <row r="61" spans="1:5" ht="15" x14ac:dyDescent="0.25">
      <c r="A61" s="5" t="s">
        <v>61</v>
      </c>
      <c r="B61" s="6">
        <v>522211</v>
      </c>
      <c r="C61" s="6">
        <v>161875</v>
      </c>
      <c r="D61" s="6">
        <v>161875</v>
      </c>
      <c r="E61" s="6">
        <v>0</v>
      </c>
    </row>
    <row r="62" spans="1:5" ht="15" x14ac:dyDescent="0.25">
      <c r="A62" s="5" t="s">
        <v>62</v>
      </c>
      <c r="B62" s="6">
        <v>1183194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54910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74812854</v>
      </c>
      <c r="C64" s="8">
        <f>SUM(C8:C63)</f>
        <v>15399528</v>
      </c>
      <c r="D64" s="8">
        <f>SUM(D8:D63)</f>
        <v>12111460</v>
      </c>
      <c r="E64" s="8">
        <f>SUM(E8:E63)</f>
        <v>3288068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26F6-E31B-4BC4-9691-68883506775E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101</v>
      </c>
      <c r="B2" s="2"/>
      <c r="C2" s="2"/>
      <c r="D2" s="2"/>
      <c r="E2" s="2"/>
    </row>
    <row r="3" spans="1:5" ht="15" x14ac:dyDescent="0.25">
      <c r="A3" s="2" t="s">
        <v>88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1035250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204493</v>
      </c>
      <c r="C9" s="6">
        <v>51172</v>
      </c>
      <c r="D9" s="6">
        <v>51157</v>
      </c>
      <c r="E9" s="6">
        <v>15</v>
      </c>
    </row>
    <row r="10" spans="1:5" ht="15" x14ac:dyDescent="0.25">
      <c r="A10" s="5" t="s">
        <v>87</v>
      </c>
      <c r="B10" s="6">
        <v>37829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1861477</v>
      </c>
      <c r="C11" s="6">
        <v>423482</v>
      </c>
      <c r="D11" s="6">
        <v>105668</v>
      </c>
      <c r="E11" s="6">
        <v>317814</v>
      </c>
    </row>
    <row r="12" spans="1:5" ht="15" x14ac:dyDescent="0.25">
      <c r="A12" s="5" t="s">
        <v>12</v>
      </c>
      <c r="B12" s="6">
        <v>825397</v>
      </c>
      <c r="C12" s="6">
        <v>250431</v>
      </c>
      <c r="D12" s="6">
        <v>249523</v>
      </c>
      <c r="E12" s="6">
        <v>908</v>
      </c>
    </row>
    <row r="13" spans="1:5" ht="15" x14ac:dyDescent="0.25">
      <c r="A13" s="5" t="s">
        <v>13</v>
      </c>
      <c r="B13" s="6">
        <v>12437994</v>
      </c>
      <c r="C13" s="6">
        <v>3696925</v>
      </c>
      <c r="D13" s="6">
        <v>3684894</v>
      </c>
      <c r="E13" s="6">
        <v>12031</v>
      </c>
    </row>
    <row r="14" spans="1:5" ht="15" x14ac:dyDescent="0.25">
      <c r="A14" s="5" t="s">
        <v>14</v>
      </c>
      <c r="B14" s="6">
        <v>1234143</v>
      </c>
      <c r="C14" s="6">
        <v>380442</v>
      </c>
      <c r="D14" s="6">
        <v>373346</v>
      </c>
      <c r="E14" s="6">
        <v>7096</v>
      </c>
    </row>
    <row r="15" spans="1:5" ht="15" x14ac:dyDescent="0.25">
      <c r="A15" s="5" t="s">
        <v>15</v>
      </c>
      <c r="B15" s="6">
        <v>952040</v>
      </c>
      <c r="C15" s="6">
        <v>267885</v>
      </c>
      <c r="D15" s="6">
        <v>243618</v>
      </c>
      <c r="E15" s="6">
        <v>24267</v>
      </c>
    </row>
    <row r="16" spans="1:5" ht="15" x14ac:dyDescent="0.25">
      <c r="A16" s="5" t="s">
        <v>16</v>
      </c>
      <c r="B16" s="6">
        <v>177665</v>
      </c>
      <c r="C16" s="6">
        <v>62488</v>
      </c>
      <c r="D16" s="6">
        <v>9547</v>
      </c>
      <c r="E16" s="6">
        <v>52941</v>
      </c>
    </row>
    <row r="17" spans="1:5" ht="15" x14ac:dyDescent="0.25">
      <c r="A17" s="5" t="s">
        <v>17</v>
      </c>
      <c r="B17" s="6">
        <v>258517</v>
      </c>
      <c r="C17" s="6">
        <v>106551</v>
      </c>
      <c r="D17" s="6">
        <v>65573</v>
      </c>
      <c r="E17" s="6">
        <v>40978</v>
      </c>
    </row>
    <row r="18" spans="1:5" ht="15" x14ac:dyDescent="0.25">
      <c r="A18" s="5" t="s">
        <v>18</v>
      </c>
      <c r="B18" s="6">
        <v>3771711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1962735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35499</v>
      </c>
      <c r="C20" s="6">
        <v>4171</v>
      </c>
      <c r="D20" s="6" t="s">
        <v>8</v>
      </c>
      <c r="E20" s="6">
        <v>4171</v>
      </c>
    </row>
    <row r="21" spans="1:5" ht="15" x14ac:dyDescent="0.25">
      <c r="A21" s="5" t="s">
        <v>21</v>
      </c>
      <c r="B21" s="6">
        <v>301359</v>
      </c>
      <c r="C21" s="6">
        <v>107314</v>
      </c>
      <c r="D21" s="6">
        <v>19235</v>
      </c>
      <c r="E21" s="6">
        <v>88079</v>
      </c>
    </row>
    <row r="22" spans="1:5" ht="15" x14ac:dyDescent="0.25">
      <c r="A22" s="5" t="s">
        <v>22</v>
      </c>
      <c r="B22" s="6">
        <v>298258</v>
      </c>
      <c r="C22" s="6" t="s">
        <v>8</v>
      </c>
      <c r="D22" s="6" t="s">
        <v>8</v>
      </c>
      <c r="E22" s="6" t="s">
        <v>8</v>
      </c>
    </row>
    <row r="23" spans="1:5" ht="15" x14ac:dyDescent="0.25">
      <c r="A23" s="5" t="s">
        <v>23</v>
      </c>
      <c r="B23" s="6">
        <v>2566110</v>
      </c>
      <c r="C23" s="6">
        <v>655276</v>
      </c>
      <c r="D23" s="6">
        <v>547918</v>
      </c>
      <c r="E23" s="6">
        <v>107358</v>
      </c>
    </row>
    <row r="24" spans="1:5" ht="15" x14ac:dyDescent="0.25">
      <c r="A24" s="5" t="s">
        <v>24</v>
      </c>
      <c r="B24" s="6">
        <v>1307223</v>
      </c>
      <c r="C24" s="6">
        <v>309510</v>
      </c>
      <c r="D24" s="6">
        <v>309510</v>
      </c>
      <c r="E24" s="6">
        <v>0</v>
      </c>
    </row>
    <row r="25" spans="1:5" ht="15" x14ac:dyDescent="0.25">
      <c r="A25" s="5" t="s">
        <v>25</v>
      </c>
      <c r="B25" s="6">
        <v>604790</v>
      </c>
      <c r="C25" s="6">
        <v>172180</v>
      </c>
      <c r="D25" s="6">
        <v>157341</v>
      </c>
      <c r="E25" s="6">
        <v>14839</v>
      </c>
    </row>
    <row r="26" spans="1:5" ht="15" x14ac:dyDescent="0.25">
      <c r="A26" s="5" t="s">
        <v>26</v>
      </c>
      <c r="B26" s="6">
        <v>341484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1289799</v>
      </c>
      <c r="C27" s="6">
        <v>450707</v>
      </c>
      <c r="D27" s="6">
        <v>450707</v>
      </c>
      <c r="E27" s="6">
        <v>0</v>
      </c>
    </row>
    <row r="28" spans="1:5" ht="15" x14ac:dyDescent="0.25">
      <c r="A28" s="5" t="s">
        <v>28</v>
      </c>
      <c r="B28" s="6">
        <v>1577893</v>
      </c>
      <c r="C28" s="6">
        <v>460757</v>
      </c>
      <c r="D28" s="6">
        <v>460757</v>
      </c>
      <c r="E28" s="6">
        <v>0</v>
      </c>
    </row>
    <row r="29" spans="1:5" ht="15" x14ac:dyDescent="0.25">
      <c r="A29" s="5" t="s">
        <v>29</v>
      </c>
      <c r="B29" s="6">
        <v>270006</v>
      </c>
      <c r="C29" s="6">
        <v>28462</v>
      </c>
      <c r="D29" s="6">
        <v>21514</v>
      </c>
      <c r="E29" s="6">
        <v>6948</v>
      </c>
    </row>
    <row r="30" spans="1:5" ht="15" x14ac:dyDescent="0.25">
      <c r="A30" s="5" t="s">
        <v>30</v>
      </c>
      <c r="B30" s="6">
        <v>1229390</v>
      </c>
      <c r="C30" s="6">
        <v>310031</v>
      </c>
      <c r="D30" s="6">
        <v>310031</v>
      </c>
      <c r="E30" s="6">
        <v>0</v>
      </c>
    </row>
    <row r="31" spans="1:5" ht="15" x14ac:dyDescent="0.25">
      <c r="A31" s="5" t="s">
        <v>31</v>
      </c>
      <c r="B31" s="6">
        <v>1455990</v>
      </c>
      <c r="C31" s="6">
        <v>336735</v>
      </c>
      <c r="D31" s="6">
        <v>0</v>
      </c>
      <c r="E31" s="6">
        <v>336735</v>
      </c>
    </row>
    <row r="32" spans="1:5" ht="15" x14ac:dyDescent="0.25">
      <c r="A32" s="5" t="s">
        <v>32</v>
      </c>
      <c r="B32" s="6">
        <v>2385506</v>
      </c>
      <c r="C32" s="6">
        <v>671648</v>
      </c>
      <c r="D32" s="6">
        <v>625194</v>
      </c>
      <c r="E32" s="6">
        <v>46454</v>
      </c>
    </row>
    <row r="33" spans="1:5" ht="15" x14ac:dyDescent="0.25">
      <c r="A33" s="5" t="s">
        <v>33</v>
      </c>
      <c r="B33" s="6">
        <v>1040633</v>
      </c>
      <c r="C33" s="6">
        <v>185011</v>
      </c>
      <c r="D33" s="6">
        <v>184151</v>
      </c>
      <c r="E33" s="6">
        <v>860</v>
      </c>
    </row>
    <row r="34" spans="1:5" ht="15" x14ac:dyDescent="0.25">
      <c r="A34" s="5" t="s">
        <v>34</v>
      </c>
      <c r="B34" s="6">
        <v>673247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847272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252830</v>
      </c>
      <c r="C36" s="6">
        <v>95805</v>
      </c>
      <c r="D36" s="6">
        <v>95805</v>
      </c>
      <c r="E36" s="6">
        <v>0</v>
      </c>
    </row>
    <row r="37" spans="1:5" ht="15" x14ac:dyDescent="0.25">
      <c r="A37" s="5" t="s">
        <v>37</v>
      </c>
      <c r="B37" s="6">
        <v>16336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241856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586808</v>
      </c>
      <c r="C39" s="6">
        <v>209695</v>
      </c>
      <c r="D39" s="6">
        <v>209695</v>
      </c>
      <c r="E39" s="6">
        <v>0</v>
      </c>
    </row>
    <row r="40" spans="1:5" ht="15" x14ac:dyDescent="0.25">
      <c r="A40" s="5" t="s">
        <v>40</v>
      </c>
      <c r="B40" s="6">
        <v>180873</v>
      </c>
      <c r="C40" s="6">
        <v>52421</v>
      </c>
      <c r="D40" s="6">
        <v>52137</v>
      </c>
      <c r="E40" s="6">
        <v>284</v>
      </c>
    </row>
    <row r="41" spans="1:5" ht="15" x14ac:dyDescent="0.25">
      <c r="A41" s="5" t="s">
        <v>41</v>
      </c>
      <c r="B41" s="6">
        <v>1570169</v>
      </c>
      <c r="C41" s="6">
        <v>518216</v>
      </c>
      <c r="D41" s="6">
        <v>518216</v>
      </c>
      <c r="E41" s="6">
        <v>0</v>
      </c>
    </row>
    <row r="42" spans="1:5" ht="15" x14ac:dyDescent="0.25">
      <c r="A42" s="5" t="s">
        <v>42</v>
      </c>
      <c r="B42" s="6">
        <v>825498</v>
      </c>
      <c r="C42" s="6">
        <v>256424</v>
      </c>
      <c r="D42" s="6">
        <v>256424</v>
      </c>
      <c r="E42" s="6">
        <v>0</v>
      </c>
    </row>
    <row r="43" spans="1:5" ht="15" x14ac:dyDescent="0.25">
      <c r="A43" s="5" t="s">
        <v>43</v>
      </c>
      <c r="B43" s="6">
        <v>6067467</v>
      </c>
      <c r="C43" s="6">
        <v>1881383</v>
      </c>
      <c r="D43" s="6">
        <v>301405</v>
      </c>
      <c r="E43" s="6">
        <v>1579978</v>
      </c>
    </row>
    <row r="44" spans="1:5" ht="15" x14ac:dyDescent="0.25">
      <c r="A44" s="5" t="s">
        <v>44</v>
      </c>
      <c r="B44" s="6">
        <v>2112241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88829</v>
      </c>
      <c r="C45" s="6">
        <v>19692</v>
      </c>
      <c r="D45" s="6">
        <v>18765</v>
      </c>
      <c r="E45" s="6">
        <v>927</v>
      </c>
    </row>
    <row r="46" spans="1:5" ht="15" x14ac:dyDescent="0.25">
      <c r="A46" s="5" t="s">
        <v>46</v>
      </c>
      <c r="B46" s="6">
        <v>2763388</v>
      </c>
      <c r="C46" s="6">
        <v>526131</v>
      </c>
      <c r="D46" s="6">
        <v>525890</v>
      </c>
      <c r="E46" s="6">
        <v>241</v>
      </c>
    </row>
    <row r="47" spans="1:5" ht="15" x14ac:dyDescent="0.25">
      <c r="A47" s="5" t="s">
        <v>47</v>
      </c>
      <c r="B47" s="6">
        <v>639506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958178</v>
      </c>
      <c r="C48" s="6">
        <v>461989</v>
      </c>
      <c r="D48" s="6">
        <v>380236</v>
      </c>
      <c r="E48" s="6">
        <v>81753</v>
      </c>
    </row>
    <row r="49" spans="1:5" ht="15" x14ac:dyDescent="0.25">
      <c r="A49" s="5" t="s">
        <v>49</v>
      </c>
      <c r="B49" s="6">
        <v>2848357</v>
      </c>
      <c r="C49" s="6">
        <v>765577</v>
      </c>
      <c r="D49" s="6">
        <v>726899</v>
      </c>
      <c r="E49" s="6">
        <v>38678</v>
      </c>
    </row>
    <row r="50" spans="1:5" ht="15" x14ac:dyDescent="0.25">
      <c r="A50" s="5" t="s">
        <v>50</v>
      </c>
      <c r="B50" s="6">
        <v>1209026</v>
      </c>
      <c r="C50" s="6">
        <v>420575</v>
      </c>
      <c r="D50" s="6" t="s">
        <v>8</v>
      </c>
      <c r="E50" s="6">
        <v>420575</v>
      </c>
    </row>
    <row r="51" spans="1:5" ht="15" x14ac:dyDescent="0.25">
      <c r="A51" s="5" t="s">
        <v>51</v>
      </c>
      <c r="B51" s="6">
        <v>300970</v>
      </c>
      <c r="C51" s="6">
        <v>66686</v>
      </c>
      <c r="D51" s="6">
        <v>66686</v>
      </c>
      <c r="E51" s="6">
        <v>0</v>
      </c>
    </row>
    <row r="52" spans="1:5" ht="15" x14ac:dyDescent="0.25">
      <c r="A52" s="5" t="s">
        <v>52</v>
      </c>
      <c r="B52" s="6">
        <v>1250545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103998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1586376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4126343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289310</v>
      </c>
      <c r="C56" s="6" t="s">
        <v>8</v>
      </c>
      <c r="D56" s="6" t="s">
        <v>8</v>
      </c>
      <c r="E56" s="6" t="s">
        <v>8</v>
      </c>
    </row>
    <row r="57" spans="1:5" ht="15" x14ac:dyDescent="0.25">
      <c r="A57" s="5" t="s">
        <v>57</v>
      </c>
      <c r="B57" s="6">
        <v>166532</v>
      </c>
      <c r="C57" s="6">
        <v>54770</v>
      </c>
      <c r="D57" s="6">
        <v>0</v>
      </c>
      <c r="E57" s="6">
        <v>54770</v>
      </c>
    </row>
    <row r="58" spans="1:5" ht="15" x14ac:dyDescent="0.25">
      <c r="A58" s="5" t="s">
        <v>58</v>
      </c>
      <c r="B58" s="6">
        <v>29033</v>
      </c>
      <c r="C58" s="6">
        <v>13514</v>
      </c>
      <c r="D58" s="6" t="s">
        <v>8</v>
      </c>
      <c r="E58" s="6">
        <v>13514</v>
      </c>
    </row>
    <row r="59" spans="1:5" ht="15" x14ac:dyDescent="0.25">
      <c r="A59" s="5" t="s">
        <v>59</v>
      </c>
      <c r="B59" s="6">
        <v>1531721</v>
      </c>
      <c r="C59" s="6">
        <v>284466</v>
      </c>
      <c r="D59" s="6">
        <v>284466</v>
      </c>
      <c r="E59" s="6">
        <v>0</v>
      </c>
    </row>
    <row r="60" spans="1:5" ht="15" x14ac:dyDescent="0.25">
      <c r="A60" s="5" t="s">
        <v>60</v>
      </c>
      <c r="B60" s="6">
        <v>1728370</v>
      </c>
      <c r="C60" s="6">
        <v>549684</v>
      </c>
      <c r="D60" s="6">
        <v>535651</v>
      </c>
      <c r="E60" s="6">
        <v>14033</v>
      </c>
    </row>
    <row r="61" spans="1:5" ht="15" x14ac:dyDescent="0.25">
      <c r="A61" s="5" t="s">
        <v>61</v>
      </c>
      <c r="B61" s="6">
        <v>520696</v>
      </c>
      <c r="C61" s="6">
        <v>161429</v>
      </c>
      <c r="D61" s="6">
        <v>161429</v>
      </c>
      <c r="E61" s="6">
        <v>0</v>
      </c>
    </row>
    <row r="62" spans="1:5" ht="15" x14ac:dyDescent="0.25">
      <c r="A62" s="5" t="s">
        <v>62</v>
      </c>
      <c r="B62" s="6">
        <v>1182357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54259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74215582</v>
      </c>
      <c r="C64" s="8">
        <f>SUM(C8:C63)</f>
        <v>15269635</v>
      </c>
      <c r="D64" s="8">
        <f>SUM(D8:D63)</f>
        <v>12003388</v>
      </c>
      <c r="E64" s="8">
        <f>SUM(E8:E63)</f>
        <v>3266247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67</v>
      </c>
    </row>
    <row r="70" spans="1:1" x14ac:dyDescent="0.25">
      <c r="A70" s="9" t="s">
        <v>68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71</v>
      </c>
    </row>
    <row r="74" spans="1:1" x14ac:dyDescent="0.25">
      <c r="A74" s="9" t="s">
        <v>75</v>
      </c>
    </row>
    <row r="75" spans="1:1" x14ac:dyDescent="0.25">
      <c r="A75" s="9" t="s">
        <v>76</v>
      </c>
    </row>
    <row r="76" spans="1:1" x14ac:dyDescent="0.25">
      <c r="A76" s="9" t="s">
        <v>77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80</v>
      </c>
    </row>
    <row r="80" spans="1:1" x14ac:dyDescent="0.25">
      <c r="A80" s="9" t="s">
        <v>81</v>
      </c>
    </row>
    <row r="81" spans="1:1" x14ac:dyDescent="0.25">
      <c r="A81" s="9" t="s">
        <v>82</v>
      </c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February 24, 2020 11:09 AM&amp;R&amp;"-,Regular"&amp;7Page : &amp;"-,Regular"&amp;7&amp;P&amp;"-,Regular"&amp;7 of &amp;"-,Regular"&amp;7&amp;N</oddFooter>
    <evenFooter>&amp;L&amp;"-,Regular"&amp;7Created On: Monday, February 24, 2020 11:09 AM&amp;R&amp;"-,Regular"&amp;7Page : &amp;"-,Regular"&amp;7&amp;P&amp;"-,Regular"&amp;7 of &amp;"-,Regular"&amp;7&amp;N</evenFooter>
    <firstFooter>&amp;L&amp;"-,Regular"&amp;7Created On: Monday, February 24, 2020 11:09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0ADD-AB20-426A-A1CF-CBE937319E19}">
  <sheetPr>
    <pageSetUpPr fitToPage="1"/>
  </sheetPr>
  <dimension ref="A1:E83"/>
  <sheetViews>
    <sheetView workbookViewId="0">
      <pane ySplit="7" topLeftCell="A48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112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1039621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212689</v>
      </c>
      <c r="C9" s="6">
        <v>52827</v>
      </c>
      <c r="D9" s="6">
        <v>52825</v>
      </c>
      <c r="E9" s="6">
        <v>2</v>
      </c>
    </row>
    <row r="10" spans="1:5" ht="15" x14ac:dyDescent="0.25">
      <c r="A10" s="5" t="s">
        <v>10</v>
      </c>
      <c r="B10" s="6">
        <v>37829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1878446</v>
      </c>
      <c r="C11" s="6">
        <v>426398</v>
      </c>
      <c r="D11" s="6">
        <v>106815</v>
      </c>
      <c r="E11" s="6">
        <v>319583</v>
      </c>
    </row>
    <row r="12" spans="1:5" ht="15" x14ac:dyDescent="0.25">
      <c r="A12" s="5" t="s">
        <v>12</v>
      </c>
      <c r="B12" s="6">
        <v>828694</v>
      </c>
      <c r="C12" s="6">
        <v>251909</v>
      </c>
      <c r="D12" s="6">
        <v>250980</v>
      </c>
      <c r="E12" s="6">
        <v>929</v>
      </c>
    </row>
    <row r="13" spans="1:5" ht="15" x14ac:dyDescent="0.25">
      <c r="A13" s="5" t="s">
        <v>13</v>
      </c>
      <c r="B13" s="6">
        <v>12617496</v>
      </c>
      <c r="C13" s="6">
        <v>3748234</v>
      </c>
      <c r="D13" s="6">
        <v>3733554</v>
      </c>
      <c r="E13" s="6">
        <v>14680</v>
      </c>
    </row>
    <row r="14" spans="1:5" ht="15" x14ac:dyDescent="0.25">
      <c r="A14" s="5" t="s">
        <v>14</v>
      </c>
      <c r="B14" s="6">
        <v>1231471</v>
      </c>
      <c r="C14" s="6">
        <v>375957</v>
      </c>
      <c r="D14" s="6">
        <v>367859</v>
      </c>
      <c r="E14" s="6">
        <v>8098</v>
      </c>
    </row>
    <row r="15" spans="1:5" ht="15" x14ac:dyDescent="0.25">
      <c r="A15" s="5" t="s">
        <v>15</v>
      </c>
      <c r="B15" s="6">
        <v>949434</v>
      </c>
      <c r="C15" s="6">
        <v>266955</v>
      </c>
      <c r="D15" s="6">
        <v>242723</v>
      </c>
      <c r="E15" s="6">
        <v>24232</v>
      </c>
    </row>
    <row r="16" spans="1:5" ht="15" x14ac:dyDescent="0.25">
      <c r="A16" s="5" t="s">
        <v>16</v>
      </c>
      <c r="B16" s="6">
        <v>214927</v>
      </c>
      <c r="C16" s="6">
        <v>63148</v>
      </c>
      <c r="D16" s="6">
        <v>9611</v>
      </c>
      <c r="E16" s="6">
        <v>53537</v>
      </c>
    </row>
    <row r="17" spans="1:5" ht="15" x14ac:dyDescent="0.25">
      <c r="A17" s="5" t="s">
        <v>17</v>
      </c>
      <c r="B17" s="6">
        <v>263389</v>
      </c>
      <c r="C17" s="6">
        <v>109273</v>
      </c>
      <c r="D17" s="6">
        <v>67157</v>
      </c>
      <c r="E17" s="6">
        <v>42116</v>
      </c>
    </row>
    <row r="18" spans="1:5" ht="15" x14ac:dyDescent="0.25">
      <c r="A18" s="5" t="s">
        <v>18</v>
      </c>
      <c r="B18" s="6">
        <v>3814296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1892562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35524</v>
      </c>
      <c r="C20" s="6">
        <v>4166</v>
      </c>
      <c r="D20" s="6" t="s">
        <v>8</v>
      </c>
      <c r="E20" s="6">
        <v>4166</v>
      </c>
    </row>
    <row r="21" spans="1:5" ht="15" x14ac:dyDescent="0.25">
      <c r="A21" s="5" t="s">
        <v>21</v>
      </c>
      <c r="B21" s="6">
        <v>310785</v>
      </c>
      <c r="C21" s="6">
        <v>110424</v>
      </c>
      <c r="D21" s="6">
        <v>19886</v>
      </c>
      <c r="E21" s="6">
        <v>90538</v>
      </c>
    </row>
    <row r="22" spans="1:5" ht="15" x14ac:dyDescent="0.25">
      <c r="A22" s="5" t="s">
        <v>22</v>
      </c>
      <c r="B22" s="6">
        <v>290902</v>
      </c>
      <c r="C22" s="6">
        <v>0</v>
      </c>
      <c r="D22" s="6">
        <v>0</v>
      </c>
      <c r="E22" s="6">
        <v>0</v>
      </c>
    </row>
    <row r="23" spans="1:5" ht="15" x14ac:dyDescent="0.25">
      <c r="A23" s="5" t="s">
        <v>23</v>
      </c>
      <c r="B23" s="6">
        <v>2680627</v>
      </c>
      <c r="C23" s="6">
        <v>685985</v>
      </c>
      <c r="D23" s="6">
        <v>577871</v>
      </c>
      <c r="E23" s="6">
        <v>108114</v>
      </c>
    </row>
    <row r="24" spans="1:5" ht="15" x14ac:dyDescent="0.25">
      <c r="A24" s="5" t="s">
        <v>24</v>
      </c>
      <c r="B24" s="6">
        <v>1336196</v>
      </c>
      <c r="C24" s="6">
        <v>310882</v>
      </c>
      <c r="D24" s="6">
        <v>310882</v>
      </c>
      <c r="E24" s="6">
        <v>0</v>
      </c>
    </row>
    <row r="25" spans="1:5" ht="15" x14ac:dyDescent="0.25">
      <c r="A25" s="5" t="s">
        <v>25</v>
      </c>
      <c r="B25" s="6">
        <v>605053</v>
      </c>
      <c r="C25" s="6">
        <v>172682</v>
      </c>
      <c r="D25" s="6">
        <v>157709</v>
      </c>
      <c r="E25" s="6">
        <v>14973</v>
      </c>
    </row>
    <row r="26" spans="1:5" ht="15" x14ac:dyDescent="0.25">
      <c r="A26" s="5" t="s">
        <v>26</v>
      </c>
      <c r="B26" s="6">
        <v>358081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1288398</v>
      </c>
      <c r="C27" s="6">
        <v>451066</v>
      </c>
      <c r="D27" s="6">
        <v>451066</v>
      </c>
      <c r="E27" s="6">
        <v>0</v>
      </c>
    </row>
    <row r="28" spans="1:5" ht="15" x14ac:dyDescent="0.25">
      <c r="A28" s="5" t="s">
        <v>28</v>
      </c>
      <c r="B28" s="6">
        <v>1610710</v>
      </c>
      <c r="C28" s="6">
        <v>467469</v>
      </c>
      <c r="D28" s="6">
        <v>467469</v>
      </c>
      <c r="E28" s="6">
        <v>0</v>
      </c>
    </row>
    <row r="29" spans="1:5" ht="15" x14ac:dyDescent="0.25">
      <c r="A29" s="5" t="s">
        <v>29</v>
      </c>
      <c r="B29" s="6">
        <v>274242</v>
      </c>
      <c r="C29" s="6">
        <v>33001</v>
      </c>
      <c r="D29" s="6">
        <v>24837</v>
      </c>
      <c r="E29" s="6">
        <v>8164</v>
      </c>
    </row>
    <row r="30" spans="1:5" ht="15" x14ac:dyDescent="0.25">
      <c r="A30" s="5" t="s">
        <v>30</v>
      </c>
      <c r="B30" s="6">
        <v>1233962</v>
      </c>
      <c r="C30" s="6">
        <v>311534</v>
      </c>
      <c r="D30" s="6">
        <v>311534</v>
      </c>
      <c r="E30" s="6">
        <v>0</v>
      </c>
    </row>
    <row r="31" spans="1:5" ht="15" x14ac:dyDescent="0.25">
      <c r="A31" s="5" t="s">
        <v>31</v>
      </c>
      <c r="B31" s="6">
        <v>1731120</v>
      </c>
      <c r="C31" s="6">
        <v>342411</v>
      </c>
      <c r="D31" s="6">
        <v>0</v>
      </c>
      <c r="E31" s="6">
        <v>342411</v>
      </c>
    </row>
    <row r="32" spans="1:5" ht="15" x14ac:dyDescent="0.25">
      <c r="A32" s="5" t="s">
        <v>32</v>
      </c>
      <c r="B32" s="6">
        <v>2373597</v>
      </c>
      <c r="C32" s="6">
        <v>665811</v>
      </c>
      <c r="D32" s="6">
        <v>609473</v>
      </c>
      <c r="E32" s="6">
        <v>56338</v>
      </c>
    </row>
    <row r="33" spans="1:5" ht="15" x14ac:dyDescent="0.25">
      <c r="A33" s="5" t="s">
        <v>33</v>
      </c>
      <c r="B33" s="6">
        <v>1071241</v>
      </c>
      <c r="C33" s="6">
        <v>191341</v>
      </c>
      <c r="D33" s="6">
        <v>190616</v>
      </c>
      <c r="E33" s="6">
        <v>725</v>
      </c>
    </row>
    <row r="34" spans="1:5" ht="15" x14ac:dyDescent="0.25">
      <c r="A34" s="5" t="s">
        <v>34</v>
      </c>
      <c r="B34" s="6">
        <v>672198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839308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253496</v>
      </c>
      <c r="C36" s="6">
        <v>95867</v>
      </c>
      <c r="D36" s="6">
        <v>95867</v>
      </c>
      <c r="E36" s="6">
        <v>0</v>
      </c>
    </row>
    <row r="37" spans="1:5" ht="15" x14ac:dyDescent="0.25">
      <c r="A37" s="5" t="s">
        <v>37</v>
      </c>
      <c r="B37" s="6">
        <v>16559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243927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588274</v>
      </c>
      <c r="C39" s="6">
        <v>210386</v>
      </c>
      <c r="D39" s="6">
        <v>210386</v>
      </c>
      <c r="E39" s="6">
        <v>0</v>
      </c>
    </row>
    <row r="40" spans="1:5" ht="15" x14ac:dyDescent="0.25">
      <c r="A40" s="5" t="s">
        <v>40</v>
      </c>
      <c r="B40" s="6">
        <v>180340</v>
      </c>
      <c r="C40" s="6">
        <v>51844</v>
      </c>
      <c r="D40" s="6">
        <v>51567</v>
      </c>
      <c r="E40" s="6">
        <v>277</v>
      </c>
    </row>
    <row r="41" spans="1:5" ht="15" x14ac:dyDescent="0.25">
      <c r="A41" s="5" t="s">
        <v>41</v>
      </c>
      <c r="B41" s="6">
        <v>1618646</v>
      </c>
      <c r="C41" s="6">
        <v>533146</v>
      </c>
      <c r="D41" s="6">
        <v>533146</v>
      </c>
      <c r="E41" s="6">
        <v>0</v>
      </c>
    </row>
    <row r="42" spans="1:5" ht="15" x14ac:dyDescent="0.25">
      <c r="A42" s="5" t="s">
        <v>42</v>
      </c>
      <c r="B42" s="6">
        <v>829459</v>
      </c>
      <c r="C42" s="6">
        <v>257816</v>
      </c>
      <c r="D42" s="6">
        <v>257816</v>
      </c>
      <c r="E42" s="6">
        <v>0</v>
      </c>
    </row>
    <row r="43" spans="1:5" ht="15" x14ac:dyDescent="0.25">
      <c r="A43" s="5" t="s">
        <v>43</v>
      </c>
      <c r="B43" s="6">
        <v>6122502</v>
      </c>
      <c r="C43" s="6">
        <v>1891636</v>
      </c>
      <c r="D43" s="6">
        <v>306498</v>
      </c>
      <c r="E43" s="6">
        <v>1585138</v>
      </c>
    </row>
    <row r="44" spans="1:5" ht="15" x14ac:dyDescent="0.25">
      <c r="A44" s="5" t="s">
        <v>44</v>
      </c>
      <c r="B44" s="6">
        <v>2173467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88613</v>
      </c>
      <c r="C45" s="6">
        <v>19542</v>
      </c>
      <c r="D45" s="6">
        <v>18650</v>
      </c>
      <c r="E45" s="6">
        <v>892</v>
      </c>
    </row>
    <row r="46" spans="1:5" ht="15" x14ac:dyDescent="0.25">
      <c r="A46" s="5" t="s">
        <v>46</v>
      </c>
      <c r="B46" s="6">
        <v>2836894</v>
      </c>
      <c r="C46" s="6">
        <v>627909</v>
      </c>
      <c r="D46" s="6">
        <v>627606</v>
      </c>
      <c r="E46" s="6">
        <v>303</v>
      </c>
    </row>
    <row r="47" spans="1:5" ht="15" x14ac:dyDescent="0.25">
      <c r="A47" s="5" t="s">
        <v>47</v>
      </c>
      <c r="B47" s="6">
        <v>646471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964910</v>
      </c>
      <c r="C48" s="6">
        <v>466446</v>
      </c>
      <c r="D48" s="6">
        <v>383698</v>
      </c>
      <c r="E48" s="6">
        <v>82748</v>
      </c>
    </row>
    <row r="49" spans="1:5" ht="15" x14ac:dyDescent="0.25">
      <c r="A49" s="5" t="s">
        <v>49</v>
      </c>
      <c r="B49" s="6">
        <v>2854237</v>
      </c>
      <c r="C49" s="6">
        <v>774482</v>
      </c>
      <c r="D49" s="6">
        <v>735853</v>
      </c>
      <c r="E49" s="6">
        <v>38629</v>
      </c>
    </row>
    <row r="50" spans="1:5" ht="15" x14ac:dyDescent="0.25">
      <c r="A50" s="5" t="s">
        <v>50</v>
      </c>
      <c r="B50" s="6">
        <v>1167065</v>
      </c>
      <c r="C50" s="6">
        <v>408694</v>
      </c>
      <c r="D50" s="6" t="s">
        <v>8</v>
      </c>
      <c r="E50" s="6">
        <v>408694</v>
      </c>
    </row>
    <row r="51" spans="1:5" ht="15" x14ac:dyDescent="0.25">
      <c r="A51" s="5" t="s">
        <v>51</v>
      </c>
      <c r="B51" s="6">
        <v>299031</v>
      </c>
      <c r="C51" s="6">
        <v>66694</v>
      </c>
      <c r="D51" s="6">
        <v>66694</v>
      </c>
      <c r="E51" s="6">
        <v>0</v>
      </c>
    </row>
    <row r="52" spans="1:5" ht="15" x14ac:dyDescent="0.25">
      <c r="A52" s="5" t="s">
        <v>52</v>
      </c>
      <c r="B52" s="6">
        <v>1292939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103962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1599108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4160192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295272</v>
      </c>
      <c r="C56" s="6">
        <v>0</v>
      </c>
      <c r="D56" s="6">
        <v>0</v>
      </c>
      <c r="E56" s="6">
        <v>0</v>
      </c>
    </row>
    <row r="57" spans="1:5" ht="15" x14ac:dyDescent="0.25">
      <c r="A57" s="5" t="s">
        <v>57</v>
      </c>
      <c r="B57" s="6">
        <v>167070</v>
      </c>
      <c r="C57" s="6">
        <v>54664</v>
      </c>
      <c r="D57" s="6">
        <v>0</v>
      </c>
      <c r="E57" s="6">
        <v>54664</v>
      </c>
    </row>
    <row r="58" spans="1:5" ht="15" x14ac:dyDescent="0.25">
      <c r="A58" s="5" t="s">
        <v>58</v>
      </c>
      <c r="B58" s="6">
        <v>29472</v>
      </c>
      <c r="C58" s="6">
        <v>13684</v>
      </c>
      <c r="D58" s="6" t="s">
        <v>8</v>
      </c>
      <c r="E58" s="6">
        <v>13684</v>
      </c>
    </row>
    <row r="59" spans="1:5" ht="15" x14ac:dyDescent="0.25">
      <c r="A59" s="5" t="s">
        <v>59</v>
      </c>
      <c r="B59" s="6">
        <v>1255630</v>
      </c>
      <c r="C59" s="6">
        <v>293565</v>
      </c>
      <c r="D59" s="6">
        <v>293565</v>
      </c>
      <c r="E59" s="6">
        <v>0</v>
      </c>
    </row>
    <row r="60" spans="1:5" ht="15" x14ac:dyDescent="0.25">
      <c r="A60" s="5" t="s">
        <v>60</v>
      </c>
      <c r="B60" s="6">
        <v>1248491</v>
      </c>
      <c r="C60" s="6">
        <v>67689</v>
      </c>
      <c r="D60" s="6">
        <v>53601</v>
      </c>
      <c r="E60" s="6">
        <v>14088</v>
      </c>
    </row>
    <row r="61" spans="1:5" ht="15" x14ac:dyDescent="0.25">
      <c r="A61" s="5" t="s">
        <v>61</v>
      </c>
      <c r="B61" s="6">
        <v>521524</v>
      </c>
      <c r="C61" s="6">
        <v>161715</v>
      </c>
      <c r="D61" s="6">
        <v>161715</v>
      </c>
      <c r="E61" s="6">
        <v>0</v>
      </c>
    </row>
    <row r="62" spans="1:5" ht="15" x14ac:dyDescent="0.25">
      <c r="A62" s="5" t="s">
        <v>62</v>
      </c>
      <c r="B62" s="6">
        <v>1183952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54150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74488451</v>
      </c>
      <c r="C64" s="8">
        <f>SUM(C8:C63)</f>
        <v>15037252</v>
      </c>
      <c r="D64" s="8">
        <f>SUM(D8:D63)</f>
        <v>11749529</v>
      </c>
      <c r="E64" s="8">
        <f>SUM(E8:E63)</f>
        <v>3287723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7B4A-29F0-49E3-92C2-080761E58908}">
  <sheetPr>
    <pageSetUpPr fitToPage="1"/>
  </sheetPr>
  <dimension ref="A1:E83"/>
  <sheetViews>
    <sheetView topLeftCell="F1" workbookViewId="0">
      <pane ySplit="7" topLeftCell="A49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113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1043767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213643</v>
      </c>
      <c r="C9" s="6">
        <v>53123</v>
      </c>
      <c r="D9" s="6">
        <v>53120</v>
      </c>
      <c r="E9" s="6">
        <v>3</v>
      </c>
    </row>
    <row r="10" spans="1:5" ht="15" x14ac:dyDescent="0.25">
      <c r="A10" s="5" t="s">
        <v>10</v>
      </c>
      <c r="B10" s="6">
        <v>37829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1888238</v>
      </c>
      <c r="C11" s="6">
        <v>430695</v>
      </c>
      <c r="D11" s="6">
        <v>107682</v>
      </c>
      <c r="E11" s="6">
        <v>323013</v>
      </c>
    </row>
    <row r="12" spans="1:5" ht="15" x14ac:dyDescent="0.25">
      <c r="A12" s="5" t="s">
        <v>12</v>
      </c>
      <c r="B12" s="6">
        <v>830083</v>
      </c>
      <c r="C12" s="6">
        <v>253168</v>
      </c>
      <c r="D12" s="6">
        <v>252201</v>
      </c>
      <c r="E12" s="6">
        <v>967</v>
      </c>
    </row>
    <row r="13" spans="1:5" ht="15" x14ac:dyDescent="0.25">
      <c r="A13" s="5" t="s">
        <v>13</v>
      </c>
      <c r="B13" s="6">
        <v>12593368</v>
      </c>
      <c r="C13" s="6">
        <v>3738516</v>
      </c>
      <c r="D13" s="6">
        <v>3722449</v>
      </c>
      <c r="E13" s="6">
        <v>16067</v>
      </c>
    </row>
    <row r="14" spans="1:5" ht="15" x14ac:dyDescent="0.25">
      <c r="A14" s="5" t="s">
        <v>14</v>
      </c>
      <c r="B14" s="6">
        <v>1230388</v>
      </c>
      <c r="C14" s="6">
        <v>378037</v>
      </c>
      <c r="D14" s="6">
        <v>370211</v>
      </c>
      <c r="E14" s="6">
        <v>7826</v>
      </c>
    </row>
    <row r="15" spans="1:5" ht="15" x14ac:dyDescent="0.25">
      <c r="A15" s="5" t="s">
        <v>15</v>
      </c>
      <c r="B15" s="6">
        <v>952410</v>
      </c>
      <c r="C15" s="6">
        <v>268041</v>
      </c>
      <c r="D15" s="6">
        <v>243708</v>
      </c>
      <c r="E15" s="6">
        <v>24333</v>
      </c>
    </row>
    <row r="16" spans="1:5" ht="15" x14ac:dyDescent="0.25">
      <c r="A16" s="5" t="s">
        <v>16</v>
      </c>
      <c r="B16" s="6">
        <v>213738</v>
      </c>
      <c r="C16" s="6">
        <v>62546</v>
      </c>
      <c r="D16" s="6">
        <v>9515</v>
      </c>
      <c r="E16" s="6">
        <v>53031</v>
      </c>
    </row>
    <row r="17" spans="1:5" ht="15" x14ac:dyDescent="0.25">
      <c r="A17" s="5" t="s">
        <v>17</v>
      </c>
      <c r="B17" s="6">
        <v>263605</v>
      </c>
      <c r="C17" s="6">
        <v>108784</v>
      </c>
      <c r="D17" s="6">
        <v>66837</v>
      </c>
      <c r="E17" s="6">
        <v>41947</v>
      </c>
    </row>
    <row r="18" spans="1:5" ht="15" x14ac:dyDescent="0.25">
      <c r="A18" s="5" t="s">
        <v>18</v>
      </c>
      <c r="B18" s="6">
        <v>3800726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2027915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35385</v>
      </c>
      <c r="C20" s="6">
        <v>4168</v>
      </c>
      <c r="D20" s="6" t="s">
        <v>8</v>
      </c>
      <c r="E20" s="6">
        <v>4168</v>
      </c>
    </row>
    <row r="21" spans="1:5" ht="15" x14ac:dyDescent="0.25">
      <c r="A21" s="5" t="s">
        <v>21</v>
      </c>
      <c r="B21" s="6">
        <v>310623</v>
      </c>
      <c r="C21" s="6">
        <v>110223</v>
      </c>
      <c r="D21" s="6">
        <v>19872</v>
      </c>
      <c r="E21" s="6">
        <v>90351</v>
      </c>
    </row>
    <row r="22" spans="1:5" ht="15" x14ac:dyDescent="0.25">
      <c r="A22" s="5" t="s">
        <v>22</v>
      </c>
      <c r="B22" s="6">
        <v>285233</v>
      </c>
      <c r="C22" s="6">
        <v>0</v>
      </c>
      <c r="D22" s="6">
        <v>0</v>
      </c>
      <c r="E22" s="6">
        <v>0</v>
      </c>
    </row>
    <row r="23" spans="1:5" ht="15" x14ac:dyDescent="0.25">
      <c r="A23" s="5" t="s">
        <v>23</v>
      </c>
      <c r="B23" s="6">
        <v>2682054</v>
      </c>
      <c r="C23" s="6">
        <v>687746</v>
      </c>
      <c r="D23" s="6">
        <v>579871</v>
      </c>
      <c r="E23" s="6">
        <v>107875</v>
      </c>
    </row>
    <row r="24" spans="1:5" ht="15" x14ac:dyDescent="0.25">
      <c r="A24" s="5" t="s">
        <v>24</v>
      </c>
      <c r="B24" s="6">
        <v>1327863</v>
      </c>
      <c r="C24" s="6">
        <v>309264</v>
      </c>
      <c r="D24" s="6">
        <v>309264</v>
      </c>
      <c r="E24" s="6">
        <v>0</v>
      </c>
    </row>
    <row r="25" spans="1:5" ht="15" x14ac:dyDescent="0.25">
      <c r="A25" s="5" t="s">
        <v>25</v>
      </c>
      <c r="B25" s="6">
        <v>604398</v>
      </c>
      <c r="C25" s="6">
        <v>173062</v>
      </c>
      <c r="D25" s="6">
        <v>157854</v>
      </c>
      <c r="E25" s="6">
        <v>15208</v>
      </c>
    </row>
    <row r="26" spans="1:5" ht="15" x14ac:dyDescent="0.25">
      <c r="A26" s="5" t="s">
        <v>26</v>
      </c>
      <c r="B26" s="6">
        <v>359056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1288645</v>
      </c>
      <c r="C27" s="6">
        <v>451480</v>
      </c>
      <c r="D27" s="6">
        <v>451480</v>
      </c>
      <c r="E27" s="6">
        <v>0</v>
      </c>
    </row>
    <row r="28" spans="1:5" ht="15" x14ac:dyDescent="0.25">
      <c r="A28" s="5" t="s">
        <v>28</v>
      </c>
      <c r="B28" s="6">
        <v>1618143</v>
      </c>
      <c r="C28" s="6">
        <v>470125</v>
      </c>
      <c r="D28" s="6">
        <v>470125</v>
      </c>
      <c r="E28" s="6">
        <v>0</v>
      </c>
    </row>
    <row r="29" spans="1:5" ht="15" x14ac:dyDescent="0.25">
      <c r="A29" s="5" t="s">
        <v>29</v>
      </c>
      <c r="B29" s="6">
        <v>277568</v>
      </c>
      <c r="C29" s="6">
        <v>38458</v>
      </c>
      <c r="D29" s="6">
        <v>28665</v>
      </c>
      <c r="E29" s="6">
        <v>9793</v>
      </c>
    </row>
    <row r="30" spans="1:5" ht="15" x14ac:dyDescent="0.25">
      <c r="A30" s="5" t="s">
        <v>30</v>
      </c>
      <c r="B30" s="6">
        <v>1239877</v>
      </c>
      <c r="C30" s="6">
        <v>312759</v>
      </c>
      <c r="D30" s="6">
        <v>312759</v>
      </c>
      <c r="E30" s="6">
        <v>0</v>
      </c>
    </row>
    <row r="31" spans="1:5" ht="15" x14ac:dyDescent="0.25">
      <c r="A31" s="5" t="s">
        <v>31</v>
      </c>
      <c r="B31" s="6">
        <v>1736721</v>
      </c>
      <c r="C31" s="6">
        <v>352927</v>
      </c>
      <c r="D31" s="6">
        <v>0</v>
      </c>
      <c r="E31" s="6">
        <v>352927</v>
      </c>
    </row>
    <row r="32" spans="1:5" ht="15" x14ac:dyDescent="0.25">
      <c r="A32" s="5" t="s">
        <v>32</v>
      </c>
      <c r="B32" s="6">
        <v>2374059</v>
      </c>
      <c r="C32" s="6">
        <v>662823</v>
      </c>
      <c r="D32" s="6">
        <v>609142</v>
      </c>
      <c r="E32" s="6">
        <v>53681</v>
      </c>
    </row>
    <row r="33" spans="1:5" ht="15" x14ac:dyDescent="0.25">
      <c r="A33" s="5" t="s">
        <v>33</v>
      </c>
      <c r="B33" s="6">
        <v>1060208</v>
      </c>
      <c r="C33" s="6">
        <v>188113</v>
      </c>
      <c r="D33" s="6">
        <v>187320</v>
      </c>
      <c r="E33" s="6">
        <v>793</v>
      </c>
    </row>
    <row r="34" spans="1:5" ht="15" x14ac:dyDescent="0.25">
      <c r="A34" s="5" t="s">
        <v>34</v>
      </c>
      <c r="B34" s="6">
        <v>672824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838406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252012</v>
      </c>
      <c r="C36" s="6">
        <v>94674</v>
      </c>
      <c r="D36" s="6">
        <v>94674</v>
      </c>
      <c r="E36" s="6">
        <v>0</v>
      </c>
    </row>
    <row r="37" spans="1:5" ht="15" x14ac:dyDescent="0.25">
      <c r="A37" s="5" t="s">
        <v>37</v>
      </c>
      <c r="B37" s="6">
        <v>16620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237329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588123</v>
      </c>
      <c r="C39" s="6">
        <v>210184</v>
      </c>
      <c r="D39" s="6">
        <v>210184</v>
      </c>
      <c r="E39" s="6">
        <v>0</v>
      </c>
    </row>
    <row r="40" spans="1:5" ht="15" x14ac:dyDescent="0.25">
      <c r="A40" s="5" t="s">
        <v>40</v>
      </c>
      <c r="B40" s="6">
        <v>180680</v>
      </c>
      <c r="C40" s="6">
        <v>51773</v>
      </c>
      <c r="D40" s="6">
        <v>51491</v>
      </c>
      <c r="E40" s="6">
        <v>282</v>
      </c>
    </row>
    <row r="41" spans="1:5" ht="15" x14ac:dyDescent="0.25">
      <c r="A41" s="5" t="s">
        <v>41</v>
      </c>
      <c r="B41" s="6">
        <v>1611421</v>
      </c>
      <c r="C41" s="6">
        <v>530959</v>
      </c>
      <c r="D41" s="6">
        <v>530959</v>
      </c>
      <c r="E41" s="6">
        <v>0</v>
      </c>
    </row>
    <row r="42" spans="1:5" ht="15" x14ac:dyDescent="0.25">
      <c r="A42" s="5" t="s">
        <v>42</v>
      </c>
      <c r="B42" s="6">
        <v>829406</v>
      </c>
      <c r="C42" s="6">
        <v>258239</v>
      </c>
      <c r="D42" s="6">
        <v>258239</v>
      </c>
      <c r="E42" s="6">
        <v>0</v>
      </c>
    </row>
    <row r="43" spans="1:5" ht="15" x14ac:dyDescent="0.25">
      <c r="A43" s="5" t="s">
        <v>43</v>
      </c>
      <c r="B43" s="6">
        <v>6110966</v>
      </c>
      <c r="C43" s="6">
        <v>1887066</v>
      </c>
      <c r="D43" s="6">
        <v>306927</v>
      </c>
      <c r="E43" s="6">
        <v>1580139</v>
      </c>
    </row>
    <row r="44" spans="1:5" ht="15" x14ac:dyDescent="0.25">
      <c r="A44" s="5" t="s">
        <v>44</v>
      </c>
      <c r="B44" s="6">
        <v>2174429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90124</v>
      </c>
      <c r="C45" s="6">
        <v>20113</v>
      </c>
      <c r="D45" s="6">
        <v>19180</v>
      </c>
      <c r="E45" s="6">
        <v>933</v>
      </c>
    </row>
    <row r="46" spans="1:5" ht="15" x14ac:dyDescent="0.25">
      <c r="A46" s="5" t="s">
        <v>46</v>
      </c>
      <c r="B46" s="6">
        <v>2825907</v>
      </c>
      <c r="C46" s="6">
        <v>619740</v>
      </c>
      <c r="D46" s="6">
        <v>619427</v>
      </c>
      <c r="E46" s="6">
        <v>313</v>
      </c>
    </row>
    <row r="47" spans="1:5" ht="15" x14ac:dyDescent="0.25">
      <c r="A47" s="5" t="s">
        <v>47</v>
      </c>
      <c r="B47" s="6">
        <v>649492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962773</v>
      </c>
      <c r="C48" s="6">
        <v>465376</v>
      </c>
      <c r="D48" s="6">
        <v>382212</v>
      </c>
      <c r="E48" s="6">
        <v>83164</v>
      </c>
    </row>
    <row r="49" spans="1:5" ht="15" x14ac:dyDescent="0.25">
      <c r="A49" s="5" t="s">
        <v>49</v>
      </c>
      <c r="B49" s="6">
        <v>2846489</v>
      </c>
      <c r="C49" s="6">
        <v>771330</v>
      </c>
      <c r="D49" s="6">
        <v>733047</v>
      </c>
      <c r="E49" s="6">
        <v>38283</v>
      </c>
    </row>
    <row r="50" spans="1:5" ht="15" x14ac:dyDescent="0.25">
      <c r="A50" s="5" t="s">
        <v>50</v>
      </c>
      <c r="B50" s="6">
        <v>1158503</v>
      </c>
      <c r="C50" s="6">
        <v>405131</v>
      </c>
      <c r="D50" s="6" t="s">
        <v>8</v>
      </c>
      <c r="E50" s="6">
        <v>405131</v>
      </c>
    </row>
    <row r="51" spans="1:5" ht="15" x14ac:dyDescent="0.25">
      <c r="A51" s="5" t="s">
        <v>51</v>
      </c>
      <c r="B51" s="6">
        <v>299037</v>
      </c>
      <c r="C51" s="6">
        <v>67014</v>
      </c>
      <c r="D51" s="6">
        <v>67014</v>
      </c>
      <c r="E51" s="6">
        <v>0</v>
      </c>
    </row>
    <row r="52" spans="1:5" ht="15" x14ac:dyDescent="0.25">
      <c r="A52" s="5" t="s">
        <v>52</v>
      </c>
      <c r="B52" s="6">
        <v>1292804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103760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1590700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4164868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296227</v>
      </c>
      <c r="C56" s="6">
        <v>0</v>
      </c>
      <c r="D56" s="6">
        <v>0</v>
      </c>
      <c r="E56" s="6">
        <v>0</v>
      </c>
    </row>
    <row r="57" spans="1:5" ht="15" x14ac:dyDescent="0.25">
      <c r="A57" s="5" t="s">
        <v>57</v>
      </c>
      <c r="B57" s="6">
        <v>166496</v>
      </c>
      <c r="C57" s="6">
        <v>54410</v>
      </c>
      <c r="D57" s="6">
        <v>0</v>
      </c>
      <c r="E57" s="6">
        <v>54410</v>
      </c>
    </row>
    <row r="58" spans="1:5" ht="15" x14ac:dyDescent="0.25">
      <c r="A58" s="5" t="s">
        <v>58</v>
      </c>
      <c r="B58" s="6">
        <v>29689</v>
      </c>
      <c r="C58" s="6">
        <v>13814</v>
      </c>
      <c r="D58" s="6" t="s">
        <v>8</v>
      </c>
      <c r="E58" s="6">
        <v>13814</v>
      </c>
    </row>
    <row r="59" spans="1:5" ht="15" x14ac:dyDescent="0.25">
      <c r="A59" s="5" t="s">
        <v>59</v>
      </c>
      <c r="B59" s="6">
        <v>1265240</v>
      </c>
      <c r="C59" s="6">
        <v>303158</v>
      </c>
      <c r="D59" s="6">
        <v>303158</v>
      </c>
      <c r="E59" s="6">
        <v>0</v>
      </c>
    </row>
    <row r="60" spans="1:5" ht="15" x14ac:dyDescent="0.25">
      <c r="A60" s="5" t="s">
        <v>60</v>
      </c>
      <c r="B60" s="6">
        <v>1727726</v>
      </c>
      <c r="C60" s="6">
        <v>549929</v>
      </c>
      <c r="D60" s="6">
        <v>535847</v>
      </c>
      <c r="E60" s="6">
        <v>14082</v>
      </c>
    </row>
    <row r="61" spans="1:5" ht="15" x14ac:dyDescent="0.25">
      <c r="A61" s="5" t="s">
        <v>61</v>
      </c>
      <c r="B61" s="6">
        <v>521981</v>
      </c>
      <c r="C61" s="6">
        <v>161855</v>
      </c>
      <c r="D61" s="6">
        <v>161855</v>
      </c>
      <c r="E61" s="6">
        <v>0</v>
      </c>
    </row>
    <row r="62" spans="1:5" ht="15" x14ac:dyDescent="0.25">
      <c r="A62" s="5" t="s">
        <v>62</v>
      </c>
      <c r="B62" s="6">
        <v>1184360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53525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75037460</v>
      </c>
      <c r="C64" s="8">
        <f>SUM(C8:C63)</f>
        <v>15518823</v>
      </c>
      <c r="D64" s="8">
        <f>SUM(D8:D63)</f>
        <v>12226289</v>
      </c>
      <c r="E64" s="8">
        <f>SUM(E8:E63)</f>
        <v>3292534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2F11-DE62-4C88-913D-C744291CAB70}">
  <sheetPr>
    <pageSetUpPr fitToPage="1"/>
  </sheetPr>
  <dimension ref="A1:E83"/>
  <sheetViews>
    <sheetView workbookViewId="0">
      <pane ySplit="7" topLeftCell="A52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114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1046192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213560</v>
      </c>
      <c r="C9" s="6">
        <v>53172</v>
      </c>
      <c r="D9" s="6">
        <v>53169</v>
      </c>
      <c r="E9" s="6">
        <v>3</v>
      </c>
    </row>
    <row r="10" spans="1:5" ht="15" x14ac:dyDescent="0.25">
      <c r="A10" s="5" t="s">
        <v>10</v>
      </c>
      <c r="B10" s="6">
        <v>37829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1892992</v>
      </c>
      <c r="C11" s="6">
        <v>432744</v>
      </c>
      <c r="D11" s="6">
        <v>107328</v>
      </c>
      <c r="E11" s="6">
        <v>325416</v>
      </c>
    </row>
    <row r="12" spans="1:5" ht="15" x14ac:dyDescent="0.25">
      <c r="A12" s="5" t="s">
        <v>12</v>
      </c>
      <c r="B12" s="6">
        <v>831542</v>
      </c>
      <c r="C12" s="6">
        <v>254212</v>
      </c>
      <c r="D12" s="6">
        <v>253286</v>
      </c>
      <c r="E12" s="6">
        <v>926</v>
      </c>
    </row>
    <row r="13" spans="1:5" ht="15" x14ac:dyDescent="0.25">
      <c r="A13" s="5" t="s">
        <v>13</v>
      </c>
      <c r="B13" s="6">
        <v>12476326</v>
      </c>
      <c r="C13" s="6">
        <v>3709976</v>
      </c>
      <c r="D13" s="6">
        <v>3693220</v>
      </c>
      <c r="E13" s="6">
        <v>16756</v>
      </c>
    </row>
    <row r="14" spans="1:5" ht="15" x14ac:dyDescent="0.25">
      <c r="A14" s="5" t="s">
        <v>14</v>
      </c>
      <c r="B14" s="6">
        <v>1229180</v>
      </c>
      <c r="C14" s="6">
        <v>379745</v>
      </c>
      <c r="D14" s="6">
        <v>372024</v>
      </c>
      <c r="E14" s="6">
        <v>7721</v>
      </c>
    </row>
    <row r="15" spans="1:5" ht="15" x14ac:dyDescent="0.25">
      <c r="A15" s="5" t="s">
        <v>15</v>
      </c>
      <c r="B15" s="6">
        <v>952522</v>
      </c>
      <c r="C15" s="6">
        <v>267903</v>
      </c>
      <c r="D15" s="6">
        <v>243463</v>
      </c>
      <c r="E15" s="6">
        <v>24440</v>
      </c>
    </row>
    <row r="16" spans="1:5" ht="15" x14ac:dyDescent="0.25">
      <c r="A16" s="5" t="s">
        <v>16</v>
      </c>
      <c r="B16" s="6">
        <v>212724</v>
      </c>
      <c r="C16" s="6">
        <v>62244</v>
      </c>
      <c r="D16" s="6">
        <v>9446</v>
      </c>
      <c r="E16" s="6">
        <v>52798</v>
      </c>
    </row>
    <row r="17" spans="1:5" ht="15" x14ac:dyDescent="0.25">
      <c r="A17" s="5" t="s">
        <v>17</v>
      </c>
      <c r="B17" s="6">
        <v>260191</v>
      </c>
      <c r="C17" s="6">
        <v>107317</v>
      </c>
      <c r="D17" s="6">
        <v>66030</v>
      </c>
      <c r="E17" s="6">
        <v>41287</v>
      </c>
    </row>
    <row r="18" spans="1:5" ht="15" x14ac:dyDescent="0.25">
      <c r="A18" s="5" t="s">
        <v>18</v>
      </c>
      <c r="B18" s="6">
        <v>3766588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2040303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35248</v>
      </c>
      <c r="C20" s="6">
        <v>4138</v>
      </c>
      <c r="D20" s="6" t="s">
        <v>8</v>
      </c>
      <c r="E20" s="6">
        <v>4138</v>
      </c>
    </row>
    <row r="21" spans="1:5" ht="15" x14ac:dyDescent="0.25">
      <c r="A21" s="5" t="s">
        <v>21</v>
      </c>
      <c r="B21" s="6">
        <v>310962</v>
      </c>
      <c r="C21" s="6">
        <v>110717</v>
      </c>
      <c r="D21" s="6">
        <v>19881</v>
      </c>
      <c r="E21" s="6">
        <v>90836</v>
      </c>
    </row>
    <row r="22" spans="1:5" ht="15" x14ac:dyDescent="0.25">
      <c r="A22" s="5" t="s">
        <v>22</v>
      </c>
      <c r="B22" s="6">
        <v>287072</v>
      </c>
      <c r="C22" s="6">
        <v>0</v>
      </c>
      <c r="D22" s="6">
        <v>0</v>
      </c>
      <c r="E22" s="6">
        <v>0</v>
      </c>
    </row>
    <row r="23" spans="1:5" ht="15" x14ac:dyDescent="0.25">
      <c r="A23" s="5" t="s">
        <v>23</v>
      </c>
      <c r="B23" s="6">
        <v>2674647</v>
      </c>
      <c r="C23" s="6">
        <v>687095</v>
      </c>
      <c r="D23" s="6">
        <v>579445</v>
      </c>
      <c r="E23" s="6">
        <v>107650</v>
      </c>
    </row>
    <row r="24" spans="1:5" ht="15" x14ac:dyDescent="0.25">
      <c r="A24" s="5" t="s">
        <v>24</v>
      </c>
      <c r="B24" s="6">
        <v>1315923</v>
      </c>
      <c r="C24" s="6">
        <v>307665</v>
      </c>
      <c r="D24" s="6">
        <v>307665</v>
      </c>
      <c r="E24" s="6">
        <v>0</v>
      </c>
    </row>
    <row r="25" spans="1:5" ht="15" x14ac:dyDescent="0.25">
      <c r="A25" s="5" t="s">
        <v>25</v>
      </c>
      <c r="B25" s="6">
        <v>605777</v>
      </c>
      <c r="C25" s="6">
        <v>173906</v>
      </c>
      <c r="D25" s="6">
        <v>158450</v>
      </c>
      <c r="E25" s="6">
        <v>15456</v>
      </c>
    </row>
    <row r="26" spans="1:5" ht="15" x14ac:dyDescent="0.25">
      <c r="A26" s="5" t="s">
        <v>26</v>
      </c>
      <c r="B26" s="6">
        <v>358368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1283398</v>
      </c>
      <c r="C27" s="6">
        <v>450056</v>
      </c>
      <c r="D27" s="6">
        <v>450056</v>
      </c>
      <c r="E27" s="6">
        <v>0</v>
      </c>
    </row>
    <row r="28" spans="1:5" ht="15" x14ac:dyDescent="0.25">
      <c r="A28" s="5" t="s">
        <v>28</v>
      </c>
      <c r="B28" s="6">
        <v>1618375</v>
      </c>
      <c r="C28" s="6">
        <v>470809</v>
      </c>
      <c r="D28" s="6">
        <v>470809</v>
      </c>
      <c r="E28" s="6">
        <v>0</v>
      </c>
    </row>
    <row r="29" spans="1:5" ht="15" x14ac:dyDescent="0.25">
      <c r="A29" s="5" t="s">
        <v>29</v>
      </c>
      <c r="B29" s="6">
        <v>279740</v>
      </c>
      <c r="C29" s="6">
        <v>40911</v>
      </c>
      <c r="D29" s="6">
        <v>30343</v>
      </c>
      <c r="E29" s="6">
        <v>10568</v>
      </c>
    </row>
    <row r="30" spans="1:5" ht="15" x14ac:dyDescent="0.25">
      <c r="A30" s="5" t="s">
        <v>30</v>
      </c>
      <c r="B30" s="6">
        <v>1240041</v>
      </c>
      <c r="C30" s="6">
        <v>312137</v>
      </c>
      <c r="D30" s="6">
        <v>312137</v>
      </c>
      <c r="E30" s="6">
        <v>0</v>
      </c>
    </row>
    <row r="31" spans="1:5" ht="15" x14ac:dyDescent="0.25">
      <c r="A31" s="5" t="s">
        <v>31</v>
      </c>
      <c r="B31" s="6">
        <v>1714085</v>
      </c>
      <c r="C31" s="6">
        <v>343846</v>
      </c>
      <c r="D31" s="6">
        <v>0</v>
      </c>
      <c r="E31" s="6">
        <v>343846</v>
      </c>
    </row>
    <row r="32" spans="1:5" ht="15" x14ac:dyDescent="0.25">
      <c r="A32" s="5" t="s">
        <v>32</v>
      </c>
      <c r="B32" s="6">
        <v>2378653</v>
      </c>
      <c r="C32" s="6">
        <v>666110</v>
      </c>
      <c r="D32" s="6">
        <v>613099</v>
      </c>
      <c r="E32" s="6">
        <v>53011</v>
      </c>
    </row>
    <row r="33" spans="1:5" ht="15" x14ac:dyDescent="0.25">
      <c r="A33" s="5" t="s">
        <v>33</v>
      </c>
      <c r="B33" s="6">
        <v>1040957</v>
      </c>
      <c r="C33" s="6">
        <v>183685</v>
      </c>
      <c r="D33" s="6">
        <v>182882</v>
      </c>
      <c r="E33" s="6">
        <v>803</v>
      </c>
    </row>
    <row r="34" spans="1:5" ht="15" x14ac:dyDescent="0.25">
      <c r="A34" s="5" t="s">
        <v>34</v>
      </c>
      <c r="B34" s="6">
        <v>672711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839279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250769</v>
      </c>
      <c r="C36" s="6">
        <v>93925</v>
      </c>
      <c r="D36" s="6">
        <v>93925</v>
      </c>
      <c r="E36" s="6">
        <v>0</v>
      </c>
    </row>
    <row r="37" spans="1:5" ht="15" x14ac:dyDescent="0.25">
      <c r="A37" s="5" t="s">
        <v>37</v>
      </c>
      <c r="B37" s="6">
        <v>16484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243571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587768</v>
      </c>
      <c r="C39" s="6">
        <v>210093</v>
      </c>
      <c r="D39" s="6">
        <v>210093</v>
      </c>
      <c r="E39" s="6">
        <v>0</v>
      </c>
    </row>
    <row r="40" spans="1:5" ht="15" x14ac:dyDescent="0.25">
      <c r="A40" s="5" t="s">
        <v>40</v>
      </c>
      <c r="B40" s="6">
        <v>180329</v>
      </c>
      <c r="C40" s="6">
        <v>51618</v>
      </c>
      <c r="D40" s="6">
        <v>51328</v>
      </c>
      <c r="E40" s="6">
        <v>290</v>
      </c>
    </row>
    <row r="41" spans="1:5" ht="15" x14ac:dyDescent="0.25">
      <c r="A41" s="5" t="s">
        <v>41</v>
      </c>
      <c r="B41" s="6">
        <v>1608263</v>
      </c>
      <c r="C41" s="6">
        <v>529032</v>
      </c>
      <c r="D41" s="6">
        <v>529032</v>
      </c>
      <c r="E41" s="6">
        <v>0</v>
      </c>
    </row>
    <row r="42" spans="1:5" ht="15" x14ac:dyDescent="0.25">
      <c r="A42" s="5" t="s">
        <v>42</v>
      </c>
      <c r="B42" s="6">
        <v>828524</v>
      </c>
      <c r="C42" s="6">
        <v>258689</v>
      </c>
      <c r="D42" s="6">
        <v>258689</v>
      </c>
      <c r="E42" s="6">
        <v>0</v>
      </c>
    </row>
    <row r="43" spans="1:5" ht="15" x14ac:dyDescent="0.25">
      <c r="A43" s="5" t="s">
        <v>43</v>
      </c>
      <c r="B43" s="6">
        <v>6089321</v>
      </c>
      <c r="C43" s="6">
        <v>1876748</v>
      </c>
      <c r="D43" s="6">
        <v>306182</v>
      </c>
      <c r="E43" s="6">
        <v>1570566</v>
      </c>
    </row>
    <row r="44" spans="1:5" ht="15" x14ac:dyDescent="0.25">
      <c r="A44" s="5" t="s">
        <v>44</v>
      </c>
      <c r="B44" s="6">
        <v>2171305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88139</v>
      </c>
      <c r="C45" s="6">
        <v>19474</v>
      </c>
      <c r="D45" s="6">
        <v>18558</v>
      </c>
      <c r="E45" s="6">
        <v>916</v>
      </c>
    </row>
    <row r="46" spans="1:5" ht="15" x14ac:dyDescent="0.25">
      <c r="A46" s="5" t="s">
        <v>46</v>
      </c>
      <c r="B46" s="6">
        <v>2815129</v>
      </c>
      <c r="C46" s="6">
        <v>610731</v>
      </c>
      <c r="D46" s="6">
        <v>610427</v>
      </c>
      <c r="E46" s="6">
        <v>304</v>
      </c>
    </row>
    <row r="47" spans="1:5" ht="15" x14ac:dyDescent="0.25">
      <c r="A47" s="5" t="s">
        <v>47</v>
      </c>
      <c r="B47" s="6">
        <v>641960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960448</v>
      </c>
      <c r="C48" s="6">
        <v>464564</v>
      </c>
      <c r="D48" s="6">
        <v>381358</v>
      </c>
      <c r="E48" s="6">
        <v>83206</v>
      </c>
    </row>
    <row r="49" spans="1:5" ht="15" x14ac:dyDescent="0.25">
      <c r="A49" s="5" t="s">
        <v>49</v>
      </c>
      <c r="B49" s="6">
        <v>2832785</v>
      </c>
      <c r="C49" s="6">
        <v>762480</v>
      </c>
      <c r="D49" s="6">
        <v>724771</v>
      </c>
      <c r="E49" s="6">
        <v>37709</v>
      </c>
    </row>
    <row r="50" spans="1:5" ht="15" x14ac:dyDescent="0.25">
      <c r="A50" s="5" t="s">
        <v>50</v>
      </c>
      <c r="B50" s="6">
        <v>1159060</v>
      </c>
      <c r="C50" s="6">
        <v>403986</v>
      </c>
      <c r="D50" s="6" t="s">
        <v>8</v>
      </c>
      <c r="E50" s="6">
        <v>403986</v>
      </c>
    </row>
    <row r="51" spans="1:5" ht="15" x14ac:dyDescent="0.25">
      <c r="A51" s="5" t="s">
        <v>51</v>
      </c>
      <c r="B51" s="6">
        <v>295625</v>
      </c>
      <c r="C51" s="6">
        <v>66134</v>
      </c>
      <c r="D51" s="6">
        <v>66134</v>
      </c>
      <c r="E51" s="6">
        <v>0</v>
      </c>
    </row>
    <row r="52" spans="1:5" ht="15" x14ac:dyDescent="0.25">
      <c r="A52" s="5" t="s">
        <v>52</v>
      </c>
      <c r="B52" s="6">
        <v>1292858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103385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1581533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4165233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295028</v>
      </c>
      <c r="C56" s="6">
        <v>0</v>
      </c>
      <c r="D56" s="6">
        <v>0</v>
      </c>
      <c r="E56" s="6">
        <v>0</v>
      </c>
    </row>
    <row r="57" spans="1:5" ht="15" x14ac:dyDescent="0.25">
      <c r="A57" s="5" t="s">
        <v>57</v>
      </c>
      <c r="B57" s="6">
        <v>165424</v>
      </c>
      <c r="C57" s="6">
        <v>54047</v>
      </c>
      <c r="D57" s="6">
        <v>0</v>
      </c>
      <c r="E57" s="6">
        <v>54047</v>
      </c>
    </row>
    <row r="58" spans="1:5" ht="15" x14ac:dyDescent="0.25">
      <c r="A58" s="5" t="s">
        <v>58</v>
      </c>
      <c r="B58" s="6">
        <v>29847</v>
      </c>
      <c r="C58" s="6">
        <v>13913</v>
      </c>
      <c r="D58" s="6" t="s">
        <v>8</v>
      </c>
      <c r="E58" s="6">
        <v>13913</v>
      </c>
    </row>
    <row r="59" spans="1:5" ht="15" x14ac:dyDescent="0.25">
      <c r="A59" s="5" t="s">
        <v>59</v>
      </c>
      <c r="B59" s="6">
        <v>1275873</v>
      </c>
      <c r="C59" s="6">
        <v>312626</v>
      </c>
      <c r="D59" s="6">
        <v>312626</v>
      </c>
      <c r="E59" s="6">
        <v>0</v>
      </c>
    </row>
    <row r="60" spans="1:5" ht="15" x14ac:dyDescent="0.25">
      <c r="A60" s="5" t="s">
        <v>60</v>
      </c>
      <c r="B60" s="6">
        <v>2569226</v>
      </c>
      <c r="C60" s="6">
        <v>547912</v>
      </c>
      <c r="D60" s="6">
        <v>534210</v>
      </c>
      <c r="E60" s="6">
        <v>13702</v>
      </c>
    </row>
    <row r="61" spans="1:5" ht="15" x14ac:dyDescent="0.25">
      <c r="A61" s="5" t="s">
        <v>61</v>
      </c>
      <c r="B61" s="6">
        <v>520402</v>
      </c>
      <c r="C61" s="6">
        <v>161115</v>
      </c>
      <c r="D61" s="6">
        <v>161115</v>
      </c>
      <c r="E61" s="6">
        <v>0</v>
      </c>
    </row>
    <row r="62" spans="1:5" ht="15" x14ac:dyDescent="0.25">
      <c r="A62" s="5" t="s">
        <v>62</v>
      </c>
      <c r="B62" s="6">
        <v>1187507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54124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75625105</v>
      </c>
      <c r="C64" s="8">
        <f>SUM(C8:C63)</f>
        <v>15455475</v>
      </c>
      <c r="D64" s="8">
        <f>SUM(D8:D63)</f>
        <v>12181181</v>
      </c>
      <c r="E64" s="8">
        <f>SUM(E8:E63)</f>
        <v>3274294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1DE5-26BE-47E2-9F99-83EDB55EE266}">
  <sheetPr>
    <pageSetUpPr fitToPage="1"/>
  </sheetPr>
  <dimension ref="A1:E83"/>
  <sheetViews>
    <sheetView topLeftCell="E1" workbookViewId="0">
      <pane ySplit="7" topLeftCell="A54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115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1048875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213560</v>
      </c>
      <c r="C9" s="6">
        <v>53479</v>
      </c>
      <c r="D9" s="6">
        <v>53477</v>
      </c>
      <c r="E9" s="6">
        <v>2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1892617</v>
      </c>
      <c r="C11" s="6">
        <v>434404</v>
      </c>
      <c r="D11" s="6">
        <v>107339</v>
      </c>
      <c r="E11" s="6">
        <v>327065</v>
      </c>
    </row>
    <row r="12" spans="1:5" ht="15" x14ac:dyDescent="0.25">
      <c r="A12" s="5" t="s">
        <v>12</v>
      </c>
      <c r="B12" s="6">
        <v>834710</v>
      </c>
      <c r="C12" s="6">
        <v>255954</v>
      </c>
      <c r="D12" s="6">
        <v>255047</v>
      </c>
      <c r="E12" s="6">
        <v>907</v>
      </c>
    </row>
    <row r="13" spans="1:5" ht="15" x14ac:dyDescent="0.25">
      <c r="A13" s="5" t="s">
        <v>13</v>
      </c>
      <c r="B13" s="6">
        <v>12533958</v>
      </c>
      <c r="C13" s="6">
        <v>3730683</v>
      </c>
      <c r="D13" s="6">
        <v>3713003</v>
      </c>
      <c r="E13" s="6">
        <v>17680</v>
      </c>
    </row>
    <row r="14" spans="1:5" ht="15" x14ac:dyDescent="0.25">
      <c r="A14" s="5" t="s">
        <v>14</v>
      </c>
      <c r="B14" s="6">
        <v>1221210</v>
      </c>
      <c r="C14" s="6">
        <v>379442</v>
      </c>
      <c r="D14" s="6">
        <v>371837</v>
      </c>
      <c r="E14" s="6">
        <v>7605</v>
      </c>
    </row>
    <row r="15" spans="1:5" ht="15" x14ac:dyDescent="0.25">
      <c r="A15" s="5" t="s">
        <v>15</v>
      </c>
      <c r="B15" s="6">
        <v>948646</v>
      </c>
      <c r="C15" s="6">
        <v>266486</v>
      </c>
      <c r="D15" s="6">
        <v>241741</v>
      </c>
      <c r="E15" s="6">
        <v>24745</v>
      </c>
    </row>
    <row r="16" spans="1:5" ht="15" x14ac:dyDescent="0.25">
      <c r="A16" s="5" t="s">
        <v>16</v>
      </c>
      <c r="B16" s="6">
        <v>212362</v>
      </c>
      <c r="C16" s="6">
        <v>62296</v>
      </c>
      <c r="D16" s="6">
        <v>9415</v>
      </c>
      <c r="E16" s="6">
        <v>52881</v>
      </c>
    </row>
    <row r="17" spans="1:5" ht="15" x14ac:dyDescent="0.25">
      <c r="A17" s="5" t="s">
        <v>17</v>
      </c>
      <c r="B17" s="6">
        <v>262638</v>
      </c>
      <c r="C17" s="6">
        <v>108244</v>
      </c>
      <c r="D17" s="6">
        <v>66670</v>
      </c>
      <c r="E17" s="6">
        <v>41574</v>
      </c>
    </row>
    <row r="18" spans="1:5" ht="15" x14ac:dyDescent="0.25">
      <c r="A18" s="5" t="s">
        <v>18</v>
      </c>
      <c r="B18" s="6">
        <v>3798710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2041420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35196</v>
      </c>
      <c r="C20" s="6">
        <v>4152</v>
      </c>
      <c r="D20" s="6" t="s">
        <v>8</v>
      </c>
      <c r="E20" s="6">
        <v>4152</v>
      </c>
    </row>
    <row r="21" spans="1:5" ht="15" x14ac:dyDescent="0.25">
      <c r="A21" s="5" t="s">
        <v>21</v>
      </c>
      <c r="B21" s="6">
        <v>310264</v>
      </c>
      <c r="C21" s="6">
        <v>110409</v>
      </c>
      <c r="D21" s="6">
        <v>19778</v>
      </c>
      <c r="E21" s="6">
        <v>90631</v>
      </c>
    </row>
    <row r="22" spans="1:5" ht="15" x14ac:dyDescent="0.25">
      <c r="A22" s="5" t="s">
        <v>22</v>
      </c>
      <c r="B22" s="6">
        <v>290964</v>
      </c>
      <c r="C22" s="6">
        <v>0</v>
      </c>
      <c r="D22" s="6">
        <v>0</v>
      </c>
      <c r="E22" s="6">
        <v>0</v>
      </c>
    </row>
    <row r="23" spans="1:5" ht="15" x14ac:dyDescent="0.25">
      <c r="A23" s="5" t="s">
        <v>23</v>
      </c>
      <c r="B23" s="6">
        <v>2669618</v>
      </c>
      <c r="C23" s="6">
        <v>687325</v>
      </c>
      <c r="D23" s="6">
        <v>579976</v>
      </c>
      <c r="E23" s="6">
        <v>107349</v>
      </c>
    </row>
    <row r="24" spans="1:5" ht="15" x14ac:dyDescent="0.25">
      <c r="A24" s="5" t="s">
        <v>24</v>
      </c>
      <c r="B24" s="6">
        <v>1342124</v>
      </c>
      <c r="C24" s="6">
        <v>311234</v>
      </c>
      <c r="D24" s="6">
        <v>311234</v>
      </c>
      <c r="E24" s="6">
        <v>0</v>
      </c>
    </row>
    <row r="25" spans="1:5" ht="15" x14ac:dyDescent="0.25">
      <c r="A25" s="5" t="s">
        <v>25</v>
      </c>
      <c r="B25" s="6">
        <v>603603</v>
      </c>
      <c r="C25" s="6">
        <v>174029</v>
      </c>
      <c r="D25" s="6">
        <v>158514</v>
      </c>
      <c r="E25" s="6">
        <v>15515</v>
      </c>
    </row>
    <row r="26" spans="1:5" ht="15" x14ac:dyDescent="0.25">
      <c r="A26" s="5" t="s">
        <v>26</v>
      </c>
      <c r="B26" s="6">
        <v>357811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1276893</v>
      </c>
      <c r="C27" s="6">
        <v>447249</v>
      </c>
      <c r="D27" s="6">
        <v>447249</v>
      </c>
      <c r="E27" s="6">
        <v>0</v>
      </c>
    </row>
    <row r="28" spans="1:5" ht="15" x14ac:dyDescent="0.25">
      <c r="A28" s="5" t="s">
        <v>28</v>
      </c>
      <c r="B28" s="6">
        <v>1631168</v>
      </c>
      <c r="C28" s="6">
        <v>474016</v>
      </c>
      <c r="D28" s="6">
        <v>474016</v>
      </c>
      <c r="E28" s="6">
        <v>0</v>
      </c>
    </row>
    <row r="29" spans="1:5" ht="15" x14ac:dyDescent="0.25">
      <c r="A29" s="5" t="s">
        <v>29</v>
      </c>
      <c r="B29" s="6">
        <v>282289</v>
      </c>
      <c r="C29" s="6">
        <v>44275</v>
      </c>
      <c r="D29" s="6">
        <v>32177</v>
      </c>
      <c r="E29" s="6">
        <v>12098</v>
      </c>
    </row>
    <row r="30" spans="1:5" ht="15" x14ac:dyDescent="0.25">
      <c r="A30" s="5" t="s">
        <v>30</v>
      </c>
      <c r="B30" s="6">
        <v>1244735</v>
      </c>
      <c r="C30" s="6">
        <v>312778</v>
      </c>
      <c r="D30" s="6">
        <v>312778</v>
      </c>
      <c r="E30" s="6">
        <v>0</v>
      </c>
    </row>
    <row r="31" spans="1:5" ht="15" x14ac:dyDescent="0.25">
      <c r="A31" s="5" t="s">
        <v>31</v>
      </c>
      <c r="B31" s="6">
        <v>1732612</v>
      </c>
      <c r="C31" s="6">
        <v>348153</v>
      </c>
      <c r="D31" s="6">
        <v>0</v>
      </c>
      <c r="E31" s="6">
        <v>348153</v>
      </c>
    </row>
    <row r="32" spans="1:5" ht="15" x14ac:dyDescent="0.25">
      <c r="A32" s="5" t="s">
        <v>32</v>
      </c>
      <c r="B32" s="6">
        <v>2381000</v>
      </c>
      <c r="C32" s="6">
        <v>668413</v>
      </c>
      <c r="D32" s="6">
        <v>615874</v>
      </c>
      <c r="E32" s="6">
        <v>52539</v>
      </c>
    </row>
    <row r="33" spans="1:5" ht="15" x14ac:dyDescent="0.25">
      <c r="A33" s="5" t="s">
        <v>33</v>
      </c>
      <c r="B33" s="6">
        <v>1068532</v>
      </c>
      <c r="C33" s="6">
        <v>190069</v>
      </c>
      <c r="D33" s="6">
        <v>189228</v>
      </c>
      <c r="E33" s="6">
        <v>841</v>
      </c>
    </row>
    <row r="34" spans="1:5" ht="15" x14ac:dyDescent="0.25">
      <c r="A34" s="5" t="s">
        <v>34</v>
      </c>
      <c r="B34" s="6">
        <v>674189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840625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249961</v>
      </c>
      <c r="C36" s="6">
        <v>93556</v>
      </c>
      <c r="D36" s="6">
        <v>93556</v>
      </c>
      <c r="E36" s="6">
        <v>0</v>
      </c>
    </row>
    <row r="37" spans="1:5" ht="15" x14ac:dyDescent="0.25">
      <c r="A37" s="5" t="s">
        <v>37</v>
      </c>
      <c r="B37" s="6">
        <v>15586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238178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586954</v>
      </c>
      <c r="C39" s="6">
        <v>210398</v>
      </c>
      <c r="D39" s="6">
        <v>210398</v>
      </c>
      <c r="E39" s="6">
        <v>0</v>
      </c>
    </row>
    <row r="40" spans="1:5" ht="15" x14ac:dyDescent="0.25">
      <c r="A40" s="5" t="s">
        <v>40</v>
      </c>
      <c r="B40" s="6">
        <v>180170</v>
      </c>
      <c r="C40" s="6">
        <v>51602</v>
      </c>
      <c r="D40" s="6">
        <v>51321</v>
      </c>
      <c r="E40" s="6">
        <v>281</v>
      </c>
    </row>
    <row r="41" spans="1:5" ht="15" x14ac:dyDescent="0.25">
      <c r="A41" s="5" t="s">
        <v>41</v>
      </c>
      <c r="B41" s="6">
        <v>1605514</v>
      </c>
      <c r="C41" s="6">
        <v>527577</v>
      </c>
      <c r="D41" s="6">
        <v>527577</v>
      </c>
      <c r="E41" s="6">
        <v>0</v>
      </c>
    </row>
    <row r="42" spans="1:5" ht="15" x14ac:dyDescent="0.25">
      <c r="A42" s="5" t="s">
        <v>42</v>
      </c>
      <c r="B42" s="6">
        <v>832163</v>
      </c>
      <c r="C42" s="6">
        <v>260640</v>
      </c>
      <c r="D42" s="6">
        <v>260640</v>
      </c>
      <c r="E42" s="6">
        <v>0</v>
      </c>
    </row>
    <row r="43" spans="1:5" ht="15" x14ac:dyDescent="0.25">
      <c r="A43" s="5" t="s">
        <v>43</v>
      </c>
      <c r="B43" s="6">
        <v>6117057</v>
      </c>
      <c r="C43" s="6">
        <v>1876320</v>
      </c>
      <c r="D43" s="6">
        <v>307763</v>
      </c>
      <c r="E43" s="6">
        <v>1568557</v>
      </c>
    </row>
    <row r="44" spans="1:5" ht="15" x14ac:dyDescent="0.25">
      <c r="A44" s="5" t="s">
        <v>44</v>
      </c>
      <c r="B44" s="6">
        <v>2169538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88431</v>
      </c>
      <c r="C45" s="6">
        <v>19602</v>
      </c>
      <c r="D45" s="6">
        <v>18665</v>
      </c>
      <c r="E45" s="6">
        <v>937</v>
      </c>
    </row>
    <row r="46" spans="1:5" ht="15" x14ac:dyDescent="0.25">
      <c r="A46" s="5" t="s">
        <v>46</v>
      </c>
      <c r="B46" s="6">
        <v>2807044</v>
      </c>
      <c r="C46" s="6">
        <v>601487</v>
      </c>
      <c r="D46" s="6">
        <v>601198</v>
      </c>
      <c r="E46" s="6">
        <v>289</v>
      </c>
    </row>
    <row r="47" spans="1:5" ht="15" x14ac:dyDescent="0.25">
      <c r="A47" s="5" t="s">
        <v>47</v>
      </c>
      <c r="B47" s="6">
        <v>644485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969850</v>
      </c>
      <c r="C48" s="6">
        <v>470379</v>
      </c>
      <c r="D48" s="6">
        <v>385934</v>
      </c>
      <c r="E48" s="6">
        <v>84445</v>
      </c>
    </row>
    <row r="49" spans="1:5" ht="15" x14ac:dyDescent="0.25">
      <c r="A49" s="5" t="s">
        <v>49</v>
      </c>
      <c r="B49" s="6">
        <v>2828339</v>
      </c>
      <c r="C49" s="6">
        <v>759685</v>
      </c>
      <c r="D49" s="6">
        <v>721993</v>
      </c>
      <c r="E49" s="6">
        <v>37692</v>
      </c>
    </row>
    <row r="50" spans="1:5" ht="15" x14ac:dyDescent="0.25">
      <c r="A50" s="5" t="s">
        <v>50</v>
      </c>
      <c r="B50" s="6">
        <v>1176330</v>
      </c>
      <c r="C50" s="6">
        <v>403656</v>
      </c>
      <c r="D50" s="6" t="s">
        <v>8</v>
      </c>
      <c r="E50" s="6">
        <v>403656</v>
      </c>
    </row>
    <row r="51" spans="1:5" ht="15" x14ac:dyDescent="0.25">
      <c r="A51" s="5" t="s">
        <v>51</v>
      </c>
      <c r="B51" s="6">
        <v>295882</v>
      </c>
      <c r="C51" s="6">
        <v>66243</v>
      </c>
      <c r="D51" s="6">
        <v>66243</v>
      </c>
      <c r="E51" s="6">
        <v>0</v>
      </c>
    </row>
    <row r="52" spans="1:5" ht="15" x14ac:dyDescent="0.25">
      <c r="A52" s="5" t="s">
        <v>52</v>
      </c>
      <c r="B52" s="6">
        <v>1290547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103207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1592720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4167613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294895</v>
      </c>
      <c r="C56" s="6">
        <v>0</v>
      </c>
      <c r="D56" s="6">
        <v>0</v>
      </c>
      <c r="E56" s="6">
        <v>0</v>
      </c>
    </row>
    <row r="57" spans="1:5" ht="15" x14ac:dyDescent="0.25">
      <c r="A57" s="5" t="s">
        <v>57</v>
      </c>
      <c r="B57" s="6">
        <v>164461</v>
      </c>
      <c r="C57" s="6">
        <v>53669</v>
      </c>
      <c r="D57" s="6">
        <v>0</v>
      </c>
      <c r="E57" s="6">
        <v>53669</v>
      </c>
    </row>
    <row r="58" spans="1:5" ht="15" x14ac:dyDescent="0.25">
      <c r="A58" s="5" t="s">
        <v>58</v>
      </c>
      <c r="B58" s="6">
        <v>30239</v>
      </c>
      <c r="C58" s="6">
        <v>14051</v>
      </c>
      <c r="D58" s="6" t="s">
        <v>8</v>
      </c>
      <c r="E58" s="6">
        <v>14051</v>
      </c>
    </row>
    <row r="59" spans="1:5" ht="15" x14ac:dyDescent="0.25">
      <c r="A59" s="5" t="s">
        <v>59</v>
      </c>
      <c r="B59" s="6">
        <v>1288153</v>
      </c>
      <c r="C59" s="6">
        <v>323020</v>
      </c>
      <c r="D59" s="6">
        <v>323020</v>
      </c>
      <c r="E59" s="6">
        <v>0</v>
      </c>
    </row>
    <row r="60" spans="1:5" ht="15" x14ac:dyDescent="0.25">
      <c r="A60" s="5" t="s">
        <v>60</v>
      </c>
      <c r="B60" s="6">
        <v>1728243</v>
      </c>
      <c r="C60" s="6">
        <v>550010</v>
      </c>
      <c r="D60" s="6">
        <v>536008</v>
      </c>
      <c r="E60" s="6">
        <v>14002</v>
      </c>
    </row>
    <row r="61" spans="1:5" ht="15" x14ac:dyDescent="0.25">
      <c r="A61" s="5" t="s">
        <v>61</v>
      </c>
      <c r="B61" s="6">
        <v>520959</v>
      </c>
      <c r="C61" s="6">
        <v>161642</v>
      </c>
      <c r="D61" s="6">
        <v>161642</v>
      </c>
      <c r="E61" s="6">
        <v>0</v>
      </c>
    </row>
    <row r="62" spans="1:5" ht="15" x14ac:dyDescent="0.25">
      <c r="A62" s="5" t="s">
        <v>62</v>
      </c>
      <c r="B62" s="6">
        <v>1185552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53957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75011359</v>
      </c>
      <c r="C64" s="8">
        <f>SUM(C8:C63)</f>
        <v>15506627</v>
      </c>
      <c r="D64" s="8">
        <f>SUM(D8:D63)</f>
        <v>12225311</v>
      </c>
      <c r="E64" s="8">
        <f>SUM(E8:E63)</f>
        <v>3281316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5617-BBE1-49B2-838F-5E2ABFB63ADC}">
  <sheetPr>
    <pageSetUpPr fitToPage="1"/>
  </sheetPr>
  <dimension ref="A1:E83"/>
  <sheetViews>
    <sheetView workbookViewId="0">
      <pane ySplit="7" topLeftCell="A48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116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1048826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213889</v>
      </c>
      <c r="C9" s="6">
        <v>53931</v>
      </c>
      <c r="D9" s="6">
        <v>53929</v>
      </c>
      <c r="E9" s="6">
        <v>2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1890880</v>
      </c>
      <c r="C11" s="6">
        <v>434823</v>
      </c>
      <c r="D11" s="6">
        <v>106810</v>
      </c>
      <c r="E11" s="6">
        <v>328013</v>
      </c>
    </row>
    <row r="12" spans="1:5" ht="15" x14ac:dyDescent="0.25">
      <c r="A12" s="5" t="s">
        <v>12</v>
      </c>
      <c r="B12" s="6">
        <v>835235</v>
      </c>
      <c r="C12" s="6">
        <v>257348</v>
      </c>
      <c r="D12" s="6">
        <v>256435</v>
      </c>
      <c r="E12" s="6">
        <v>913</v>
      </c>
    </row>
    <row r="13" spans="1:5" ht="15" x14ac:dyDescent="0.25">
      <c r="A13" s="5" t="s">
        <v>13</v>
      </c>
      <c r="B13" s="6">
        <v>12414191</v>
      </c>
      <c r="C13" s="6">
        <v>3691195</v>
      </c>
      <c r="D13" s="6">
        <v>3672208</v>
      </c>
      <c r="E13" s="6">
        <v>18987</v>
      </c>
    </row>
    <row r="14" spans="1:5" ht="15" x14ac:dyDescent="0.25">
      <c r="A14" s="5" t="s">
        <v>14</v>
      </c>
      <c r="B14" s="6">
        <v>1218150</v>
      </c>
      <c r="C14" s="6">
        <v>381126</v>
      </c>
      <c r="D14" s="6">
        <v>373414</v>
      </c>
      <c r="E14" s="6">
        <v>7712</v>
      </c>
    </row>
    <row r="15" spans="1:5" ht="15" x14ac:dyDescent="0.25">
      <c r="A15" s="5" t="s">
        <v>15</v>
      </c>
      <c r="B15" s="6">
        <v>950278</v>
      </c>
      <c r="C15" s="6">
        <v>267592</v>
      </c>
      <c r="D15" s="6">
        <v>243127</v>
      </c>
      <c r="E15" s="6">
        <v>24465</v>
      </c>
    </row>
    <row r="16" spans="1:5" ht="15" x14ac:dyDescent="0.25">
      <c r="A16" s="5" t="s">
        <v>16</v>
      </c>
      <c r="B16" s="6">
        <v>212271</v>
      </c>
      <c r="C16" s="6">
        <v>62073</v>
      </c>
      <c r="D16" s="6">
        <v>9455</v>
      </c>
      <c r="E16" s="6">
        <v>52618</v>
      </c>
    </row>
    <row r="17" spans="1:5" ht="15" x14ac:dyDescent="0.25">
      <c r="A17" s="5" t="s">
        <v>17</v>
      </c>
      <c r="B17" s="6">
        <v>263148</v>
      </c>
      <c r="C17" s="6">
        <v>108315</v>
      </c>
      <c r="D17" s="6">
        <v>66928</v>
      </c>
      <c r="E17" s="6">
        <v>41387</v>
      </c>
    </row>
    <row r="18" spans="1:5" ht="15" x14ac:dyDescent="0.25">
      <c r="A18" s="5" t="s">
        <v>18</v>
      </c>
      <c r="B18" s="6">
        <v>3774396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2039912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34768</v>
      </c>
      <c r="C20" s="6">
        <v>4097</v>
      </c>
      <c r="D20" s="6" t="s">
        <v>8</v>
      </c>
      <c r="E20" s="6">
        <v>4097</v>
      </c>
    </row>
    <row r="21" spans="1:5" ht="15" x14ac:dyDescent="0.25">
      <c r="A21" s="5" t="s">
        <v>21</v>
      </c>
      <c r="B21" s="6">
        <v>309622</v>
      </c>
      <c r="C21" s="6">
        <v>110477</v>
      </c>
      <c r="D21" s="6">
        <v>19929</v>
      </c>
      <c r="E21" s="6">
        <v>90548</v>
      </c>
    </row>
    <row r="22" spans="1:5" ht="15" x14ac:dyDescent="0.25">
      <c r="A22" s="5" t="s">
        <v>22</v>
      </c>
      <c r="B22" s="6">
        <v>292239</v>
      </c>
      <c r="C22" s="6">
        <v>0</v>
      </c>
      <c r="D22" s="6">
        <v>0</v>
      </c>
      <c r="E22" s="6">
        <v>0</v>
      </c>
    </row>
    <row r="23" spans="1:5" ht="15" x14ac:dyDescent="0.25">
      <c r="A23" s="5" t="s">
        <v>23</v>
      </c>
      <c r="B23" s="6">
        <v>2659299</v>
      </c>
      <c r="C23" s="6">
        <v>686835</v>
      </c>
      <c r="D23" s="6">
        <v>579195</v>
      </c>
      <c r="E23" s="6">
        <v>107640</v>
      </c>
    </row>
    <row r="24" spans="1:5" ht="15" x14ac:dyDescent="0.25">
      <c r="A24" s="5" t="s">
        <v>24</v>
      </c>
      <c r="B24" s="6">
        <v>1329918</v>
      </c>
      <c r="C24" s="6">
        <v>311416</v>
      </c>
      <c r="D24" s="6">
        <v>311416</v>
      </c>
      <c r="E24" s="6">
        <v>0</v>
      </c>
    </row>
    <row r="25" spans="1:5" ht="15" x14ac:dyDescent="0.25">
      <c r="A25" s="5" t="s">
        <v>25</v>
      </c>
      <c r="B25" s="6">
        <v>602645</v>
      </c>
      <c r="C25" s="6">
        <v>175248</v>
      </c>
      <c r="D25" s="6">
        <v>159699</v>
      </c>
      <c r="E25" s="6">
        <v>15549</v>
      </c>
    </row>
    <row r="26" spans="1:5" ht="15" x14ac:dyDescent="0.25">
      <c r="A26" s="5" t="s">
        <v>26</v>
      </c>
      <c r="B26" s="6">
        <v>357725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1267726</v>
      </c>
      <c r="C27" s="6">
        <v>441600</v>
      </c>
      <c r="D27" s="6">
        <v>441600</v>
      </c>
      <c r="E27" s="6">
        <v>0</v>
      </c>
    </row>
    <row r="28" spans="1:5" ht="15" x14ac:dyDescent="0.25">
      <c r="A28" s="5" t="s">
        <v>28</v>
      </c>
      <c r="B28" s="6">
        <v>1606433</v>
      </c>
      <c r="C28" s="6">
        <v>464158</v>
      </c>
      <c r="D28" s="6">
        <v>464158</v>
      </c>
      <c r="E28" s="6">
        <v>0</v>
      </c>
    </row>
    <row r="29" spans="1:5" ht="15" x14ac:dyDescent="0.25">
      <c r="A29" s="5" t="s">
        <v>29</v>
      </c>
      <c r="B29" s="6">
        <v>282752</v>
      </c>
      <c r="C29" s="6">
        <v>46609</v>
      </c>
      <c r="D29" s="6">
        <v>33899</v>
      </c>
      <c r="E29" s="6">
        <v>12710</v>
      </c>
    </row>
    <row r="30" spans="1:5" ht="15" x14ac:dyDescent="0.25">
      <c r="A30" s="5" t="s">
        <v>30</v>
      </c>
      <c r="B30" s="6">
        <v>1246079</v>
      </c>
      <c r="C30" s="6">
        <v>312116</v>
      </c>
      <c r="D30" s="6">
        <v>312116</v>
      </c>
      <c r="E30" s="6">
        <v>0</v>
      </c>
    </row>
    <row r="31" spans="1:5" ht="15" x14ac:dyDescent="0.25">
      <c r="A31" s="5" t="s">
        <v>31</v>
      </c>
      <c r="B31" s="6">
        <v>1702123</v>
      </c>
      <c r="C31" s="6">
        <v>340983</v>
      </c>
      <c r="D31" s="6">
        <v>0</v>
      </c>
      <c r="E31" s="6">
        <v>340983</v>
      </c>
    </row>
    <row r="32" spans="1:5" ht="15" x14ac:dyDescent="0.25">
      <c r="A32" s="5" t="s">
        <v>32</v>
      </c>
      <c r="B32" s="6">
        <v>2379783</v>
      </c>
      <c r="C32" s="6">
        <v>670324</v>
      </c>
      <c r="D32" s="6">
        <v>619735</v>
      </c>
      <c r="E32" s="6">
        <v>50589</v>
      </c>
    </row>
    <row r="33" spans="1:5" ht="15" x14ac:dyDescent="0.25">
      <c r="A33" s="5" t="s">
        <v>33</v>
      </c>
      <c r="B33" s="6">
        <v>1053161</v>
      </c>
      <c r="C33" s="6">
        <v>186837</v>
      </c>
      <c r="D33" s="6">
        <v>186016</v>
      </c>
      <c r="E33" s="6">
        <v>821</v>
      </c>
    </row>
    <row r="34" spans="1:5" ht="15" x14ac:dyDescent="0.25">
      <c r="A34" s="5" t="s">
        <v>34</v>
      </c>
      <c r="B34" s="6">
        <v>672341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838841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248243</v>
      </c>
      <c r="C36" s="6">
        <v>93004</v>
      </c>
      <c r="D36" s="6">
        <v>93004</v>
      </c>
      <c r="E36" s="6">
        <v>0</v>
      </c>
    </row>
    <row r="37" spans="1:5" ht="15" x14ac:dyDescent="0.25">
      <c r="A37" s="5" t="s">
        <v>37</v>
      </c>
      <c r="B37" s="6">
        <v>16261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237908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582242</v>
      </c>
      <c r="C39" s="6">
        <v>209002</v>
      </c>
      <c r="D39" s="6">
        <v>209002</v>
      </c>
      <c r="E39" s="6">
        <v>0</v>
      </c>
    </row>
    <row r="40" spans="1:5" ht="15" x14ac:dyDescent="0.25">
      <c r="A40" s="5" t="s">
        <v>40</v>
      </c>
      <c r="B40" s="6">
        <v>180417</v>
      </c>
      <c r="C40" s="6">
        <v>52565</v>
      </c>
      <c r="D40" s="6">
        <v>52283</v>
      </c>
      <c r="E40" s="6">
        <v>282</v>
      </c>
    </row>
    <row r="41" spans="1:5" ht="15" x14ac:dyDescent="0.25">
      <c r="A41" s="5" t="s">
        <v>41</v>
      </c>
      <c r="B41" s="6">
        <v>1607171</v>
      </c>
      <c r="C41" s="6">
        <v>532438</v>
      </c>
      <c r="D41" s="6">
        <v>532438</v>
      </c>
      <c r="E41" s="6">
        <v>0</v>
      </c>
    </row>
    <row r="42" spans="1:5" ht="15" x14ac:dyDescent="0.25">
      <c r="A42" s="5" t="s">
        <v>42</v>
      </c>
      <c r="B42" s="6">
        <v>831402</v>
      </c>
      <c r="C42" s="6">
        <v>261882</v>
      </c>
      <c r="D42" s="6">
        <v>261882</v>
      </c>
      <c r="E42" s="6">
        <v>0</v>
      </c>
    </row>
    <row r="43" spans="1:5" ht="15" x14ac:dyDescent="0.25">
      <c r="A43" s="5" t="s">
        <v>43</v>
      </c>
      <c r="B43" s="6">
        <v>6081106</v>
      </c>
      <c r="C43" s="6">
        <v>1859164</v>
      </c>
      <c r="D43" s="6">
        <v>305710</v>
      </c>
      <c r="E43" s="6">
        <v>1553454</v>
      </c>
    </row>
    <row r="44" spans="1:5" ht="15" x14ac:dyDescent="0.25">
      <c r="A44" s="5" t="s">
        <v>44</v>
      </c>
      <c r="B44" s="6">
        <v>2164822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89483</v>
      </c>
      <c r="C45" s="6">
        <v>20207</v>
      </c>
      <c r="D45" s="6">
        <v>19238</v>
      </c>
      <c r="E45" s="6">
        <v>969</v>
      </c>
    </row>
    <row r="46" spans="1:5" ht="15" x14ac:dyDescent="0.25">
      <c r="A46" s="5" t="s">
        <v>46</v>
      </c>
      <c r="B46" s="6">
        <v>2782356</v>
      </c>
      <c r="C46" s="6">
        <v>594484</v>
      </c>
      <c r="D46" s="6">
        <v>594197</v>
      </c>
      <c r="E46" s="6">
        <v>287</v>
      </c>
    </row>
    <row r="47" spans="1:5" ht="15" x14ac:dyDescent="0.25">
      <c r="A47" s="5" t="s">
        <v>47</v>
      </c>
      <c r="B47" s="6">
        <v>641186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968223</v>
      </c>
      <c r="C48" s="6">
        <v>469903</v>
      </c>
      <c r="D48" s="6">
        <v>385771</v>
      </c>
      <c r="E48" s="6">
        <v>84132</v>
      </c>
    </row>
    <row r="49" spans="1:5" ht="15" x14ac:dyDescent="0.25">
      <c r="A49" s="5" t="s">
        <v>49</v>
      </c>
      <c r="B49" s="6">
        <v>2825103</v>
      </c>
      <c r="C49" s="6">
        <v>757847</v>
      </c>
      <c r="D49" s="6">
        <v>720556</v>
      </c>
      <c r="E49" s="6">
        <v>37291</v>
      </c>
    </row>
    <row r="50" spans="1:5" ht="15" x14ac:dyDescent="0.25">
      <c r="A50" s="5" t="s">
        <v>50</v>
      </c>
      <c r="B50" s="6">
        <v>1165633</v>
      </c>
      <c r="C50" s="6">
        <v>401271</v>
      </c>
      <c r="D50" s="6" t="s">
        <v>8</v>
      </c>
      <c r="E50" s="6">
        <v>401271</v>
      </c>
    </row>
    <row r="51" spans="1:5" ht="15" x14ac:dyDescent="0.25">
      <c r="A51" s="5" t="s">
        <v>51</v>
      </c>
      <c r="B51" s="6">
        <v>288974</v>
      </c>
      <c r="C51" s="6">
        <v>63716</v>
      </c>
      <c r="D51" s="6">
        <v>63716</v>
      </c>
      <c r="E51" s="6">
        <v>0</v>
      </c>
    </row>
    <row r="52" spans="1:5" ht="15" x14ac:dyDescent="0.25">
      <c r="A52" s="5" t="s">
        <v>52</v>
      </c>
      <c r="B52" s="6">
        <v>1284595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102766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1582551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4143053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295255</v>
      </c>
      <c r="C56" s="6">
        <v>0</v>
      </c>
      <c r="D56" s="6">
        <v>0</v>
      </c>
      <c r="E56" s="6">
        <v>0</v>
      </c>
    </row>
    <row r="57" spans="1:5" ht="15" x14ac:dyDescent="0.25">
      <c r="A57" s="5" t="s">
        <v>57</v>
      </c>
      <c r="B57" s="6">
        <v>163573</v>
      </c>
      <c r="C57" s="6">
        <v>53310</v>
      </c>
      <c r="D57" s="6">
        <v>0</v>
      </c>
      <c r="E57" s="6">
        <v>53310</v>
      </c>
    </row>
    <row r="58" spans="1:5" ht="15" x14ac:dyDescent="0.25">
      <c r="A58" s="5" t="s">
        <v>58</v>
      </c>
      <c r="B58" s="6">
        <v>30430</v>
      </c>
      <c r="C58" s="6">
        <v>14160</v>
      </c>
      <c r="D58" s="6" t="s">
        <v>8</v>
      </c>
      <c r="E58" s="6">
        <v>14160</v>
      </c>
    </row>
    <row r="59" spans="1:5" ht="15" x14ac:dyDescent="0.25">
      <c r="A59" s="5" t="s">
        <v>59</v>
      </c>
      <c r="B59" s="6">
        <v>1294491</v>
      </c>
      <c r="C59" s="6">
        <v>326870</v>
      </c>
      <c r="D59" s="6">
        <v>326870</v>
      </c>
      <c r="E59" s="6">
        <v>0</v>
      </c>
    </row>
    <row r="60" spans="1:5" ht="15" x14ac:dyDescent="0.25">
      <c r="A60" s="5" t="s">
        <v>60</v>
      </c>
      <c r="B60" s="6">
        <v>1727578</v>
      </c>
      <c r="C60" s="6">
        <v>552394</v>
      </c>
      <c r="D60" s="6">
        <v>538549</v>
      </c>
      <c r="E60" s="6">
        <v>13845</v>
      </c>
    </row>
    <row r="61" spans="1:5" ht="15" x14ac:dyDescent="0.25">
      <c r="A61" s="5" t="s">
        <v>61</v>
      </c>
      <c r="B61" s="6">
        <v>519049</v>
      </c>
      <c r="C61" s="6">
        <v>161416</v>
      </c>
      <c r="D61" s="6">
        <v>161416</v>
      </c>
      <c r="E61" s="6">
        <v>0</v>
      </c>
    </row>
    <row r="62" spans="1:5" ht="15" x14ac:dyDescent="0.25">
      <c r="A62" s="5" t="s">
        <v>62</v>
      </c>
      <c r="B62" s="6">
        <v>1183039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53793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74622336</v>
      </c>
      <c r="C64" s="8">
        <f>SUM(C8:C63)</f>
        <v>15430736</v>
      </c>
      <c r="D64" s="8">
        <f>SUM(D8:D63)</f>
        <v>12174701</v>
      </c>
      <c r="E64" s="8">
        <f>SUM(E8:E63)</f>
        <v>3256035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9D67-9214-4B6D-97D4-C5A480343B47}">
  <sheetPr>
    <pageSetUpPr fitToPage="1"/>
  </sheetPr>
  <dimension ref="A1:E83"/>
  <sheetViews>
    <sheetView workbookViewId="0">
      <pane ySplit="7" topLeftCell="A46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117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1048624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214474</v>
      </c>
      <c r="C9" s="6">
        <v>54665</v>
      </c>
      <c r="D9" s="6">
        <v>54662</v>
      </c>
      <c r="E9" s="6">
        <v>3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1884150</v>
      </c>
      <c r="C11" s="6">
        <v>434164</v>
      </c>
      <c r="D11" s="6">
        <v>106610</v>
      </c>
      <c r="E11" s="6">
        <v>327554</v>
      </c>
    </row>
    <row r="12" spans="1:5" ht="15" x14ac:dyDescent="0.25">
      <c r="A12" s="5" t="s">
        <v>12</v>
      </c>
      <c r="B12" s="6">
        <v>835370</v>
      </c>
      <c r="C12" s="6">
        <v>259656</v>
      </c>
      <c r="D12" s="6">
        <v>258779</v>
      </c>
      <c r="E12" s="6">
        <v>877</v>
      </c>
    </row>
    <row r="13" spans="1:5" ht="15" x14ac:dyDescent="0.25">
      <c r="A13" s="5" t="s">
        <v>13</v>
      </c>
      <c r="B13" s="6">
        <v>12227356</v>
      </c>
      <c r="C13" s="6">
        <v>3629320</v>
      </c>
      <c r="D13" s="6">
        <v>3609243</v>
      </c>
      <c r="E13" s="6">
        <v>20077</v>
      </c>
    </row>
    <row r="14" spans="1:5" ht="15" x14ac:dyDescent="0.25">
      <c r="A14" s="5" t="s">
        <v>14</v>
      </c>
      <c r="B14" s="6">
        <v>1212588</v>
      </c>
      <c r="C14" s="6">
        <v>380130</v>
      </c>
      <c r="D14" s="6">
        <v>372535</v>
      </c>
      <c r="E14" s="6">
        <v>7595</v>
      </c>
    </row>
    <row r="15" spans="1:5" ht="15" x14ac:dyDescent="0.25">
      <c r="A15" s="5" t="s">
        <v>15</v>
      </c>
      <c r="B15" s="6">
        <v>956280</v>
      </c>
      <c r="C15" s="6">
        <v>270969</v>
      </c>
      <c r="D15" s="6">
        <v>246283</v>
      </c>
      <c r="E15" s="6">
        <v>24686</v>
      </c>
    </row>
    <row r="16" spans="1:5" ht="15" x14ac:dyDescent="0.25">
      <c r="A16" s="5" t="s">
        <v>16</v>
      </c>
      <c r="B16" s="6">
        <v>212146</v>
      </c>
      <c r="C16" s="6">
        <v>62078</v>
      </c>
      <c r="D16" s="6">
        <v>9531</v>
      </c>
      <c r="E16" s="6">
        <v>52547</v>
      </c>
    </row>
    <row r="17" spans="1:5" ht="15" x14ac:dyDescent="0.25">
      <c r="A17" s="5" t="s">
        <v>17</v>
      </c>
      <c r="B17" s="6">
        <v>262775</v>
      </c>
      <c r="C17" s="6">
        <v>108753</v>
      </c>
      <c r="D17" s="6">
        <v>67340</v>
      </c>
      <c r="E17" s="6">
        <v>41413</v>
      </c>
    </row>
    <row r="18" spans="1:5" ht="15" x14ac:dyDescent="0.25">
      <c r="A18" s="5" t="s">
        <v>18</v>
      </c>
      <c r="B18" s="6">
        <v>3739717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2035551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34389</v>
      </c>
      <c r="C20" s="6">
        <v>4013</v>
      </c>
      <c r="D20" s="6" t="s">
        <v>8</v>
      </c>
      <c r="E20" s="6">
        <v>4013</v>
      </c>
    </row>
    <row r="21" spans="1:5" ht="15" x14ac:dyDescent="0.25">
      <c r="A21" s="5" t="s">
        <v>21</v>
      </c>
      <c r="B21" s="6">
        <v>309262</v>
      </c>
      <c r="C21" s="6">
        <v>110688</v>
      </c>
      <c r="D21" s="6">
        <v>20061</v>
      </c>
      <c r="E21" s="6">
        <v>90627</v>
      </c>
    </row>
    <row r="22" spans="1:5" ht="15" x14ac:dyDescent="0.25">
      <c r="A22" s="5" t="s">
        <v>22</v>
      </c>
      <c r="B22" s="6">
        <v>291968</v>
      </c>
      <c r="C22" s="6">
        <v>0</v>
      </c>
      <c r="D22" s="6">
        <v>0</v>
      </c>
      <c r="E22" s="6">
        <v>0</v>
      </c>
    </row>
    <row r="23" spans="1:5" ht="15" x14ac:dyDescent="0.25">
      <c r="A23" s="5" t="s">
        <v>23</v>
      </c>
      <c r="B23" s="6">
        <v>2653924</v>
      </c>
      <c r="C23" s="6">
        <v>688602</v>
      </c>
      <c r="D23" s="6">
        <v>581206</v>
      </c>
      <c r="E23" s="6">
        <v>107396</v>
      </c>
    </row>
    <row r="24" spans="1:5" ht="15" x14ac:dyDescent="0.25">
      <c r="A24" s="5" t="s">
        <v>24</v>
      </c>
      <c r="B24" s="6">
        <v>1318948</v>
      </c>
      <c r="C24" s="6">
        <v>310992</v>
      </c>
      <c r="D24" s="6">
        <v>310992</v>
      </c>
      <c r="E24" s="6">
        <v>0</v>
      </c>
    </row>
    <row r="25" spans="1:5" ht="15" x14ac:dyDescent="0.25">
      <c r="A25" s="5" t="s">
        <v>25</v>
      </c>
      <c r="B25" s="6">
        <v>604168</v>
      </c>
      <c r="C25" s="6">
        <v>176527</v>
      </c>
      <c r="D25" s="6">
        <v>160837</v>
      </c>
      <c r="E25" s="6">
        <v>15690</v>
      </c>
    </row>
    <row r="26" spans="1:5" ht="15" x14ac:dyDescent="0.25">
      <c r="A26" s="5" t="s">
        <v>26</v>
      </c>
      <c r="B26" s="6">
        <v>358036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1260844</v>
      </c>
      <c r="C27" s="6">
        <v>440673</v>
      </c>
      <c r="D27" s="6">
        <v>440673</v>
      </c>
      <c r="E27" s="6">
        <v>0</v>
      </c>
    </row>
    <row r="28" spans="1:5" ht="15" x14ac:dyDescent="0.25">
      <c r="A28" s="5" t="s">
        <v>28</v>
      </c>
      <c r="B28" s="6">
        <v>1581072</v>
      </c>
      <c r="C28" s="6">
        <v>468539</v>
      </c>
      <c r="D28" s="6">
        <v>468539</v>
      </c>
      <c r="E28" s="6">
        <v>0</v>
      </c>
    </row>
    <row r="29" spans="1:5" ht="15" x14ac:dyDescent="0.25">
      <c r="A29" s="5" t="s">
        <v>29</v>
      </c>
      <c r="B29" s="6">
        <v>283009</v>
      </c>
      <c r="C29" s="6">
        <v>48660</v>
      </c>
      <c r="D29" s="6">
        <v>35673</v>
      </c>
      <c r="E29" s="6">
        <v>12987</v>
      </c>
    </row>
    <row r="30" spans="1:5" ht="15" x14ac:dyDescent="0.25">
      <c r="A30" s="5" t="s">
        <v>30</v>
      </c>
      <c r="B30" s="6">
        <v>1245534</v>
      </c>
      <c r="C30" s="6">
        <v>311298</v>
      </c>
      <c r="D30" s="6">
        <v>311298</v>
      </c>
      <c r="E30" s="6">
        <v>0</v>
      </c>
    </row>
    <row r="31" spans="1:5" ht="15" x14ac:dyDescent="0.25">
      <c r="A31" s="5" t="s">
        <v>31</v>
      </c>
      <c r="B31" s="6">
        <v>1685220</v>
      </c>
      <c r="C31" s="6">
        <v>336415</v>
      </c>
      <c r="D31" s="6">
        <v>0</v>
      </c>
      <c r="E31" s="6">
        <v>336415</v>
      </c>
    </row>
    <row r="32" spans="1:5" ht="15" x14ac:dyDescent="0.25">
      <c r="A32" s="5" t="s">
        <v>32</v>
      </c>
      <c r="B32" s="6">
        <v>2391528</v>
      </c>
      <c r="C32" s="6">
        <v>678910</v>
      </c>
      <c r="D32" s="6">
        <v>628152</v>
      </c>
      <c r="E32" s="6">
        <v>50758</v>
      </c>
    </row>
    <row r="33" spans="1:5" ht="15" x14ac:dyDescent="0.25">
      <c r="A33" s="5" t="s">
        <v>33</v>
      </c>
      <c r="B33" s="6">
        <v>1033487</v>
      </c>
      <c r="C33" s="6">
        <v>183358</v>
      </c>
      <c r="D33" s="6">
        <v>182798</v>
      </c>
      <c r="E33" s="6">
        <v>560</v>
      </c>
    </row>
    <row r="34" spans="1:5" ht="15" x14ac:dyDescent="0.25">
      <c r="A34" s="5" t="s">
        <v>34</v>
      </c>
      <c r="B34" s="6">
        <v>670013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833214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246051</v>
      </c>
      <c r="C36" s="6">
        <v>92050</v>
      </c>
      <c r="D36" s="6">
        <v>92050</v>
      </c>
      <c r="E36" s="6">
        <v>0</v>
      </c>
    </row>
    <row r="37" spans="1:5" ht="15" x14ac:dyDescent="0.25">
      <c r="A37" s="5" t="s">
        <v>37</v>
      </c>
      <c r="B37" s="6">
        <v>16485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236655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582213</v>
      </c>
      <c r="C39" s="6">
        <v>209440</v>
      </c>
      <c r="D39" s="6">
        <v>209440</v>
      </c>
      <c r="E39" s="6">
        <v>0</v>
      </c>
    </row>
    <row r="40" spans="1:5" ht="15" x14ac:dyDescent="0.25">
      <c r="A40" s="5" t="s">
        <v>40</v>
      </c>
      <c r="B40" s="6">
        <v>182328</v>
      </c>
      <c r="C40" s="6">
        <v>54056</v>
      </c>
      <c r="D40" s="6">
        <v>53770</v>
      </c>
      <c r="E40" s="6">
        <v>286</v>
      </c>
    </row>
    <row r="41" spans="1:5" ht="15" x14ac:dyDescent="0.25">
      <c r="A41" s="5" t="s">
        <v>41</v>
      </c>
      <c r="B41" s="6">
        <v>1602059</v>
      </c>
      <c r="C41" s="6">
        <v>532712</v>
      </c>
      <c r="D41" s="6">
        <v>532712</v>
      </c>
      <c r="E41" s="6">
        <v>0</v>
      </c>
    </row>
    <row r="42" spans="1:5" ht="15" x14ac:dyDescent="0.25">
      <c r="A42" s="5" t="s">
        <v>42</v>
      </c>
      <c r="B42" s="6">
        <v>829475</v>
      </c>
      <c r="C42" s="6">
        <v>262758</v>
      </c>
      <c r="D42" s="6">
        <v>262758</v>
      </c>
      <c r="E42" s="6">
        <v>0</v>
      </c>
    </row>
    <row r="43" spans="1:5" ht="15" x14ac:dyDescent="0.25">
      <c r="A43" s="5" t="s">
        <v>43</v>
      </c>
      <c r="B43" s="6">
        <v>6062348</v>
      </c>
      <c r="C43" s="6">
        <v>1853013</v>
      </c>
      <c r="D43" s="6">
        <v>305619</v>
      </c>
      <c r="E43" s="6">
        <v>1547394</v>
      </c>
    </row>
    <row r="44" spans="1:5" ht="15" x14ac:dyDescent="0.25">
      <c r="A44" s="5" t="s">
        <v>44</v>
      </c>
      <c r="B44" s="6">
        <v>2161348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88055</v>
      </c>
      <c r="C45" s="6">
        <v>19747</v>
      </c>
      <c r="D45" s="6">
        <v>18808</v>
      </c>
      <c r="E45" s="6">
        <v>939</v>
      </c>
    </row>
    <row r="46" spans="1:5" ht="15" x14ac:dyDescent="0.25">
      <c r="A46" s="5" t="s">
        <v>46</v>
      </c>
      <c r="B46" s="6">
        <v>2773266</v>
      </c>
      <c r="C46" s="6">
        <v>590346</v>
      </c>
      <c r="D46" s="6">
        <v>590054</v>
      </c>
      <c r="E46" s="6">
        <v>292</v>
      </c>
    </row>
    <row r="47" spans="1:5" ht="15" x14ac:dyDescent="0.25">
      <c r="A47" s="5" t="s">
        <v>47</v>
      </c>
      <c r="B47" s="6">
        <v>632428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966536</v>
      </c>
      <c r="C48" s="6">
        <v>470154</v>
      </c>
      <c r="D48" s="6">
        <v>386188</v>
      </c>
      <c r="E48" s="6">
        <v>83966</v>
      </c>
    </row>
    <row r="49" spans="1:5" ht="15" x14ac:dyDescent="0.25">
      <c r="A49" s="5" t="s">
        <v>49</v>
      </c>
      <c r="B49" s="6">
        <v>2828468</v>
      </c>
      <c r="C49" s="6">
        <v>761146</v>
      </c>
      <c r="D49" s="6">
        <v>723721</v>
      </c>
      <c r="E49" s="6">
        <v>37425</v>
      </c>
    </row>
    <row r="50" spans="1:5" ht="15" x14ac:dyDescent="0.25">
      <c r="A50" s="5" t="s">
        <v>50</v>
      </c>
      <c r="B50" s="6">
        <v>1160750</v>
      </c>
      <c r="C50" s="6">
        <v>400997</v>
      </c>
      <c r="D50" s="6" t="s">
        <v>8</v>
      </c>
      <c r="E50" s="6">
        <v>400997</v>
      </c>
    </row>
    <row r="51" spans="1:5" ht="15" x14ac:dyDescent="0.25">
      <c r="A51" s="5" t="s">
        <v>51</v>
      </c>
      <c r="B51" s="6">
        <v>288686</v>
      </c>
      <c r="C51" s="6">
        <v>63878</v>
      </c>
      <c r="D51" s="6">
        <v>63878</v>
      </c>
      <c r="E51" s="6">
        <v>0</v>
      </c>
    </row>
    <row r="52" spans="1:5" ht="15" x14ac:dyDescent="0.25">
      <c r="A52" s="5" t="s">
        <v>52</v>
      </c>
      <c r="B52" s="6">
        <v>1276521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102372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1568950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4140124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295804</v>
      </c>
      <c r="C56" s="6">
        <v>0</v>
      </c>
      <c r="D56" s="6">
        <v>0</v>
      </c>
      <c r="E56" s="6">
        <v>0</v>
      </c>
    </row>
    <row r="57" spans="1:5" ht="15" x14ac:dyDescent="0.25">
      <c r="A57" s="5" t="s">
        <v>57</v>
      </c>
      <c r="B57" s="6">
        <v>163672</v>
      </c>
      <c r="C57" s="6">
        <v>53591</v>
      </c>
      <c r="D57" s="6">
        <v>0</v>
      </c>
      <c r="E57" s="6">
        <v>53591</v>
      </c>
    </row>
    <row r="58" spans="1:5" ht="15" x14ac:dyDescent="0.25">
      <c r="A58" s="5" t="s">
        <v>58</v>
      </c>
      <c r="B58" s="6">
        <v>30569</v>
      </c>
      <c r="C58" s="6">
        <v>14237</v>
      </c>
      <c r="D58" s="6" t="s">
        <v>8</v>
      </c>
      <c r="E58" s="6">
        <v>14237</v>
      </c>
    </row>
    <row r="59" spans="1:5" ht="15" x14ac:dyDescent="0.25">
      <c r="A59" s="5" t="s">
        <v>59</v>
      </c>
      <c r="B59" s="6">
        <v>1313429</v>
      </c>
      <c r="C59" s="6">
        <v>343047</v>
      </c>
      <c r="D59" s="6">
        <v>343047</v>
      </c>
      <c r="E59" s="6">
        <v>0</v>
      </c>
    </row>
    <row r="60" spans="1:5" ht="15" x14ac:dyDescent="0.25">
      <c r="A60" s="5" t="s">
        <v>60</v>
      </c>
      <c r="B60" s="6">
        <v>1731143</v>
      </c>
      <c r="C60" s="6">
        <v>557890</v>
      </c>
      <c r="D60" s="6">
        <v>543964</v>
      </c>
      <c r="E60" s="6">
        <v>13926</v>
      </c>
    </row>
    <row r="61" spans="1:5" ht="15" x14ac:dyDescent="0.25">
      <c r="A61" s="5" t="s">
        <v>61</v>
      </c>
      <c r="B61" s="6">
        <v>518356</v>
      </c>
      <c r="C61" s="6">
        <v>161231</v>
      </c>
      <c r="D61" s="6">
        <v>161231</v>
      </c>
      <c r="E61" s="6">
        <v>0</v>
      </c>
    </row>
    <row r="62" spans="1:5" ht="15" x14ac:dyDescent="0.25">
      <c r="A62" s="5" t="s">
        <v>62</v>
      </c>
      <c r="B62" s="6">
        <v>1183923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54231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74254894</v>
      </c>
      <c r="C64" s="8">
        <f>SUM(C8:C63)</f>
        <v>15398703</v>
      </c>
      <c r="D64" s="8">
        <f>SUM(D8:D63)</f>
        <v>12152452</v>
      </c>
      <c r="E64" s="8">
        <f>SUM(E8:E63)</f>
        <v>3246251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FFDB-40F4-4616-8262-3D02AEE26D56}">
  <sheetPr>
    <pageSetUpPr fitToPage="1"/>
  </sheetPr>
  <dimension ref="A1:E83"/>
  <sheetViews>
    <sheetView workbookViewId="0">
      <pane ySplit="7" topLeftCell="A50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118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1052527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215070</v>
      </c>
      <c r="C9" s="6">
        <v>54991</v>
      </c>
      <c r="D9" s="6">
        <v>54988</v>
      </c>
      <c r="E9" s="6">
        <v>3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1874047</v>
      </c>
      <c r="C11" s="6">
        <v>432349</v>
      </c>
      <c r="D11" s="6">
        <v>106010</v>
      </c>
      <c r="E11" s="6">
        <v>326339</v>
      </c>
    </row>
    <row r="12" spans="1:5" ht="15" x14ac:dyDescent="0.25">
      <c r="A12" s="5" t="s">
        <v>12</v>
      </c>
      <c r="B12" s="6">
        <v>836699</v>
      </c>
      <c r="C12" s="6">
        <v>260901</v>
      </c>
      <c r="D12" s="6">
        <v>260040</v>
      </c>
      <c r="E12" s="6">
        <v>861</v>
      </c>
    </row>
    <row r="13" spans="1:5" ht="15" x14ac:dyDescent="0.25">
      <c r="A13" s="5" t="s">
        <v>13</v>
      </c>
      <c r="B13" s="6">
        <v>12369407</v>
      </c>
      <c r="C13" s="6">
        <v>3666116</v>
      </c>
      <c r="D13" s="6">
        <v>3643990</v>
      </c>
      <c r="E13" s="6">
        <v>22126</v>
      </c>
    </row>
    <row r="14" spans="1:5" ht="15" x14ac:dyDescent="0.25">
      <c r="A14" s="5" t="s">
        <v>14</v>
      </c>
      <c r="B14" s="6">
        <v>1203153</v>
      </c>
      <c r="C14" s="6">
        <v>375125</v>
      </c>
      <c r="D14" s="6">
        <v>367794</v>
      </c>
      <c r="E14" s="6">
        <v>7331</v>
      </c>
    </row>
    <row r="15" spans="1:5" ht="15" x14ac:dyDescent="0.25">
      <c r="A15" s="5" t="s">
        <v>15</v>
      </c>
      <c r="B15" s="6">
        <v>954441</v>
      </c>
      <c r="C15" s="6">
        <v>269159</v>
      </c>
      <c r="D15" s="6">
        <v>244321</v>
      </c>
      <c r="E15" s="6">
        <v>24838</v>
      </c>
    </row>
    <row r="16" spans="1:5" ht="15" x14ac:dyDescent="0.25">
      <c r="A16" s="5" t="s">
        <v>16</v>
      </c>
      <c r="B16" s="6">
        <v>212535</v>
      </c>
      <c r="C16" s="6">
        <v>62429</v>
      </c>
      <c r="D16" s="6">
        <v>9662</v>
      </c>
      <c r="E16" s="6">
        <v>52767</v>
      </c>
    </row>
    <row r="17" spans="1:5" ht="15" x14ac:dyDescent="0.25">
      <c r="A17" s="5" t="s">
        <v>17</v>
      </c>
      <c r="B17" s="6">
        <v>262654</v>
      </c>
      <c r="C17" s="6">
        <v>108206</v>
      </c>
      <c r="D17" s="6">
        <v>66942</v>
      </c>
      <c r="E17" s="6">
        <v>41264</v>
      </c>
    </row>
    <row r="18" spans="1:5" ht="15" x14ac:dyDescent="0.25">
      <c r="A18" s="5" t="s">
        <v>18</v>
      </c>
      <c r="B18" s="6">
        <v>3779728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2048712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34489</v>
      </c>
      <c r="C20" s="6">
        <v>4001</v>
      </c>
      <c r="D20" s="6" t="s">
        <v>8</v>
      </c>
      <c r="E20" s="6">
        <v>4001</v>
      </c>
    </row>
    <row r="21" spans="1:5" ht="15" x14ac:dyDescent="0.25">
      <c r="A21" s="5" t="s">
        <v>21</v>
      </c>
      <c r="B21" s="6">
        <v>308541</v>
      </c>
      <c r="C21" s="6">
        <v>110602</v>
      </c>
      <c r="D21" s="6">
        <v>19928</v>
      </c>
      <c r="E21" s="6">
        <v>90674</v>
      </c>
    </row>
    <row r="22" spans="1:5" ht="15" x14ac:dyDescent="0.25">
      <c r="A22" s="5" t="s">
        <v>22</v>
      </c>
      <c r="B22" s="6">
        <v>336747</v>
      </c>
      <c r="C22" s="6">
        <v>58566</v>
      </c>
      <c r="D22" s="6">
        <v>58566</v>
      </c>
      <c r="E22" s="6">
        <v>0</v>
      </c>
    </row>
    <row r="23" spans="1:5" ht="15" x14ac:dyDescent="0.25">
      <c r="A23" s="5" t="s">
        <v>23</v>
      </c>
      <c r="B23" s="6">
        <v>2650586</v>
      </c>
      <c r="C23" s="6">
        <v>686576</v>
      </c>
      <c r="D23" s="6">
        <v>578685</v>
      </c>
      <c r="E23" s="6">
        <v>107891</v>
      </c>
    </row>
    <row r="24" spans="1:5" ht="15" x14ac:dyDescent="0.25">
      <c r="A24" s="5" t="s">
        <v>24</v>
      </c>
      <c r="B24" s="6">
        <v>1353191</v>
      </c>
      <c r="C24" s="6">
        <v>317012</v>
      </c>
      <c r="D24" s="6">
        <v>317012</v>
      </c>
      <c r="E24" s="6">
        <v>0</v>
      </c>
    </row>
    <row r="25" spans="1:5" ht="15" x14ac:dyDescent="0.25">
      <c r="A25" s="5" t="s">
        <v>25</v>
      </c>
      <c r="B25" s="6">
        <v>600548</v>
      </c>
      <c r="C25" s="6">
        <v>175823</v>
      </c>
      <c r="D25" s="6">
        <v>159864</v>
      </c>
      <c r="E25" s="6">
        <v>15959</v>
      </c>
    </row>
    <row r="26" spans="1:5" ht="15" x14ac:dyDescent="0.25">
      <c r="A26" s="5" t="s">
        <v>26</v>
      </c>
      <c r="B26" s="6">
        <v>358102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1257584</v>
      </c>
      <c r="C27" s="6">
        <v>440202</v>
      </c>
      <c r="D27" s="6">
        <v>440202</v>
      </c>
      <c r="E27" s="6">
        <v>0</v>
      </c>
    </row>
    <row r="28" spans="1:5" ht="15" x14ac:dyDescent="0.25">
      <c r="A28" s="5" t="s">
        <v>28</v>
      </c>
      <c r="B28" s="6">
        <v>1631986</v>
      </c>
      <c r="C28" s="6">
        <v>492750</v>
      </c>
      <c r="D28" s="6">
        <v>492750</v>
      </c>
      <c r="E28" s="6">
        <v>0</v>
      </c>
    </row>
    <row r="29" spans="1:5" ht="15" x14ac:dyDescent="0.25">
      <c r="A29" s="5" t="s">
        <v>29</v>
      </c>
      <c r="B29" s="6">
        <v>283861</v>
      </c>
      <c r="C29" s="6">
        <v>49123</v>
      </c>
      <c r="D29" s="6">
        <v>36955</v>
      </c>
      <c r="E29" s="6">
        <v>12168</v>
      </c>
    </row>
    <row r="30" spans="1:5" ht="15" x14ac:dyDescent="0.25">
      <c r="A30" s="5" t="s">
        <v>30</v>
      </c>
      <c r="B30" s="6">
        <v>1248618</v>
      </c>
      <c r="C30" s="6">
        <v>311202</v>
      </c>
      <c r="D30" s="6">
        <v>311202</v>
      </c>
      <c r="E30" s="6">
        <v>0</v>
      </c>
    </row>
    <row r="31" spans="1:5" ht="15" x14ac:dyDescent="0.25">
      <c r="A31" s="5" t="s">
        <v>31</v>
      </c>
      <c r="B31" s="6">
        <v>1710888</v>
      </c>
      <c r="C31" s="6">
        <v>342394</v>
      </c>
      <c r="D31" s="6">
        <v>0</v>
      </c>
      <c r="E31" s="6">
        <v>342394</v>
      </c>
    </row>
    <row r="32" spans="1:5" ht="15" x14ac:dyDescent="0.25">
      <c r="A32" s="5" t="s">
        <v>32</v>
      </c>
      <c r="B32" s="6">
        <v>2405918</v>
      </c>
      <c r="C32" s="6">
        <v>685167</v>
      </c>
      <c r="D32" s="6">
        <v>634754</v>
      </c>
      <c r="E32" s="6">
        <v>50413</v>
      </c>
    </row>
    <row r="33" spans="1:5" ht="15" x14ac:dyDescent="0.25">
      <c r="A33" s="5" t="s">
        <v>33</v>
      </c>
      <c r="B33" s="6">
        <v>1067491</v>
      </c>
      <c r="C33" s="6">
        <v>189830</v>
      </c>
      <c r="D33" s="6">
        <v>189161</v>
      </c>
      <c r="E33" s="6">
        <v>669</v>
      </c>
    </row>
    <row r="34" spans="1:5" ht="15" x14ac:dyDescent="0.25">
      <c r="A34" s="5" t="s">
        <v>34</v>
      </c>
      <c r="B34" s="6">
        <v>671581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832892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244432</v>
      </c>
      <c r="C36" s="6">
        <v>91133</v>
      </c>
      <c r="D36" s="6">
        <v>91133</v>
      </c>
      <c r="E36" s="6">
        <v>0</v>
      </c>
    </row>
    <row r="37" spans="1:5" ht="15" x14ac:dyDescent="0.25">
      <c r="A37" s="5" t="s">
        <v>37</v>
      </c>
      <c r="B37" s="6">
        <v>15970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238589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582645</v>
      </c>
      <c r="C39" s="6">
        <v>209687</v>
      </c>
      <c r="D39" s="6">
        <v>209687</v>
      </c>
      <c r="E39" s="6">
        <v>0</v>
      </c>
    </row>
    <row r="40" spans="1:5" ht="15" x14ac:dyDescent="0.25">
      <c r="A40" s="5" t="s">
        <v>40</v>
      </c>
      <c r="B40" s="6">
        <v>182959</v>
      </c>
      <c r="C40" s="6">
        <v>54291</v>
      </c>
      <c r="D40" s="6">
        <v>54018</v>
      </c>
      <c r="E40" s="6">
        <v>273</v>
      </c>
    </row>
    <row r="41" spans="1:5" ht="15" x14ac:dyDescent="0.25">
      <c r="A41" s="5" t="s">
        <v>41</v>
      </c>
      <c r="B41" s="6">
        <v>1599594</v>
      </c>
      <c r="C41" s="6">
        <v>531848</v>
      </c>
      <c r="D41" s="6">
        <v>531848</v>
      </c>
      <c r="E41" s="6">
        <v>0</v>
      </c>
    </row>
    <row r="42" spans="1:5" ht="15" x14ac:dyDescent="0.25">
      <c r="A42" s="5" t="s">
        <v>42</v>
      </c>
      <c r="B42" s="6">
        <v>834667</v>
      </c>
      <c r="C42" s="6">
        <v>265364</v>
      </c>
      <c r="D42" s="6">
        <v>265364</v>
      </c>
      <c r="E42" s="6">
        <v>0</v>
      </c>
    </row>
    <row r="43" spans="1:5" ht="15" x14ac:dyDescent="0.25">
      <c r="A43" s="5" t="s">
        <v>43</v>
      </c>
      <c r="B43" s="6">
        <v>6068726</v>
      </c>
      <c r="C43" s="6">
        <v>1857240</v>
      </c>
      <c r="D43" s="6">
        <v>307483</v>
      </c>
      <c r="E43" s="6">
        <v>1549757</v>
      </c>
    </row>
    <row r="44" spans="1:5" ht="15" x14ac:dyDescent="0.25">
      <c r="A44" s="5" t="s">
        <v>44</v>
      </c>
      <c r="B44" s="6">
        <v>2158750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90795</v>
      </c>
      <c r="C45" s="6">
        <v>20746</v>
      </c>
      <c r="D45" s="6">
        <v>19748</v>
      </c>
      <c r="E45" s="6">
        <v>998</v>
      </c>
    </row>
    <row r="46" spans="1:5" ht="15" x14ac:dyDescent="0.25">
      <c r="A46" s="5" t="s">
        <v>46</v>
      </c>
      <c r="B46" s="6">
        <v>2769655</v>
      </c>
      <c r="C46" s="6">
        <v>584940</v>
      </c>
      <c r="D46" s="6">
        <v>584646</v>
      </c>
      <c r="E46" s="6">
        <v>294</v>
      </c>
    </row>
    <row r="47" spans="1:5" ht="15" x14ac:dyDescent="0.25">
      <c r="A47" s="5" t="s">
        <v>47</v>
      </c>
      <c r="B47" s="6">
        <v>637139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979207</v>
      </c>
      <c r="C48" s="6">
        <v>478133</v>
      </c>
      <c r="D48" s="6">
        <v>392876</v>
      </c>
      <c r="E48" s="6">
        <v>85257</v>
      </c>
    </row>
    <row r="49" spans="1:5" ht="15" x14ac:dyDescent="0.25">
      <c r="A49" s="5" t="s">
        <v>49</v>
      </c>
      <c r="B49" s="6">
        <v>2831946</v>
      </c>
      <c r="C49" s="6">
        <v>764171</v>
      </c>
      <c r="D49" s="6">
        <v>726439</v>
      </c>
      <c r="E49" s="6">
        <v>37732</v>
      </c>
    </row>
    <row r="50" spans="1:5" ht="15" x14ac:dyDescent="0.25">
      <c r="A50" s="5" t="s">
        <v>50</v>
      </c>
      <c r="B50" s="6">
        <v>1155487</v>
      </c>
      <c r="C50" s="6">
        <v>401358</v>
      </c>
      <c r="D50" s="6" t="s">
        <v>8</v>
      </c>
      <c r="E50" s="6">
        <v>401358</v>
      </c>
    </row>
    <row r="51" spans="1:5" ht="15" x14ac:dyDescent="0.25">
      <c r="A51" s="5" t="s">
        <v>51</v>
      </c>
      <c r="B51" s="6">
        <v>290100</v>
      </c>
      <c r="C51" s="6">
        <v>64419</v>
      </c>
      <c r="D51" s="6">
        <v>64419</v>
      </c>
      <c r="E51" s="6">
        <v>0</v>
      </c>
    </row>
    <row r="52" spans="1:5" ht="15" x14ac:dyDescent="0.25">
      <c r="A52" s="5" t="s">
        <v>52</v>
      </c>
      <c r="B52" s="6">
        <v>1270303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102784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1597918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4155511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299318</v>
      </c>
      <c r="C56" s="6">
        <v>46325</v>
      </c>
      <c r="D56" s="6">
        <v>45582</v>
      </c>
      <c r="E56" s="6">
        <v>743</v>
      </c>
    </row>
    <row r="57" spans="1:5" ht="15" x14ac:dyDescent="0.25">
      <c r="A57" s="5" t="s">
        <v>57</v>
      </c>
      <c r="B57" s="6">
        <v>163696</v>
      </c>
      <c r="C57" s="6">
        <v>53963</v>
      </c>
      <c r="D57" s="6">
        <v>0</v>
      </c>
      <c r="E57" s="6">
        <v>53963</v>
      </c>
    </row>
    <row r="58" spans="1:5" ht="15" x14ac:dyDescent="0.25">
      <c r="A58" s="5" t="s">
        <v>58</v>
      </c>
      <c r="B58" s="6">
        <v>30818</v>
      </c>
      <c r="C58" s="6">
        <v>14400</v>
      </c>
      <c r="D58" s="6" t="s">
        <v>8</v>
      </c>
      <c r="E58" s="6">
        <v>14400</v>
      </c>
    </row>
    <row r="59" spans="1:5" ht="15" x14ac:dyDescent="0.25">
      <c r="A59" s="5" t="s">
        <v>59</v>
      </c>
      <c r="B59" s="6">
        <v>1346849</v>
      </c>
      <c r="C59" s="6">
        <v>372098</v>
      </c>
      <c r="D59" s="6">
        <v>372098</v>
      </c>
      <c r="E59" s="6">
        <v>0</v>
      </c>
    </row>
    <row r="60" spans="1:5" ht="15" x14ac:dyDescent="0.25">
      <c r="A60" s="5" t="s">
        <v>60</v>
      </c>
      <c r="B60" s="6">
        <v>1730774</v>
      </c>
      <c r="C60" s="6">
        <v>556947</v>
      </c>
      <c r="D60" s="6">
        <v>542599</v>
      </c>
      <c r="E60" s="6">
        <v>14348</v>
      </c>
    </row>
    <row r="61" spans="1:5" ht="15" x14ac:dyDescent="0.25">
      <c r="A61" s="5" t="s">
        <v>61</v>
      </c>
      <c r="B61" s="6">
        <v>518475</v>
      </c>
      <c r="C61" s="6">
        <v>162449</v>
      </c>
      <c r="D61" s="6">
        <v>162449</v>
      </c>
      <c r="E61" s="6">
        <v>0</v>
      </c>
    </row>
    <row r="62" spans="1:5" ht="15" x14ac:dyDescent="0.25">
      <c r="A62" s="5" t="s">
        <v>62</v>
      </c>
      <c r="B62" s="6">
        <v>1184182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54269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74732556</v>
      </c>
      <c r="C64" s="8">
        <f>SUM(C8:C63)</f>
        <v>15622036</v>
      </c>
      <c r="D64" s="8">
        <f>SUM(D8:D63)</f>
        <v>12363215</v>
      </c>
      <c r="E64" s="8">
        <f>SUM(E8:E63)</f>
        <v>3258821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6042-DB39-4637-9EE8-139DD505DB6E}">
  <sheetPr>
    <pageSetUpPr fitToPage="1"/>
  </sheetPr>
  <dimension ref="A1:E83"/>
  <sheetViews>
    <sheetView workbookViewId="0">
      <pane ySplit="7" topLeftCell="A45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119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1053681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215116</v>
      </c>
      <c r="C9" s="6">
        <v>55192</v>
      </c>
      <c r="D9" s="6">
        <v>55185</v>
      </c>
      <c r="E9" s="6">
        <v>7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1869056</v>
      </c>
      <c r="C11" s="6">
        <v>432127</v>
      </c>
      <c r="D11" s="6">
        <v>104906</v>
      </c>
      <c r="E11" s="6">
        <v>327221</v>
      </c>
    </row>
    <row r="12" spans="1:5" ht="15" x14ac:dyDescent="0.25">
      <c r="A12" s="5" t="s">
        <v>12</v>
      </c>
      <c r="B12" s="6">
        <v>831894</v>
      </c>
      <c r="C12" s="6">
        <v>258647</v>
      </c>
      <c r="D12" s="6">
        <v>257797</v>
      </c>
      <c r="E12" s="6">
        <v>850</v>
      </c>
    </row>
    <row r="13" spans="1:5" ht="15" x14ac:dyDescent="0.25">
      <c r="A13" s="5" t="s">
        <v>13</v>
      </c>
      <c r="B13" s="6">
        <v>12251774</v>
      </c>
      <c r="C13" s="6">
        <v>3622935</v>
      </c>
      <c r="D13" s="6">
        <v>3599792</v>
      </c>
      <c r="E13" s="6">
        <v>23143</v>
      </c>
    </row>
    <row r="14" spans="1:5" ht="15" x14ac:dyDescent="0.25">
      <c r="A14" s="5" t="s">
        <v>14</v>
      </c>
      <c r="B14" s="6">
        <v>1198307</v>
      </c>
      <c r="C14" s="6">
        <v>374920</v>
      </c>
      <c r="D14" s="6">
        <v>367514</v>
      </c>
      <c r="E14" s="6">
        <v>7406</v>
      </c>
    </row>
    <row r="15" spans="1:5" ht="15" x14ac:dyDescent="0.25">
      <c r="A15" s="5" t="s">
        <v>15</v>
      </c>
      <c r="B15" s="6">
        <v>954970</v>
      </c>
      <c r="C15" s="6">
        <v>268784</v>
      </c>
      <c r="D15" s="6">
        <v>243847</v>
      </c>
      <c r="E15" s="6">
        <v>24937</v>
      </c>
    </row>
    <row r="16" spans="1:5" ht="15" x14ac:dyDescent="0.25">
      <c r="A16" s="5" t="s">
        <v>16</v>
      </c>
      <c r="B16" s="6">
        <v>213312</v>
      </c>
      <c r="C16" s="6">
        <v>62743</v>
      </c>
      <c r="D16" s="6">
        <v>9702</v>
      </c>
      <c r="E16" s="6">
        <v>53041</v>
      </c>
    </row>
    <row r="17" spans="1:5" ht="15" x14ac:dyDescent="0.25">
      <c r="A17" s="5" t="s">
        <v>17</v>
      </c>
      <c r="B17" s="6">
        <v>251641</v>
      </c>
      <c r="C17" s="6">
        <v>101445</v>
      </c>
      <c r="D17" s="6">
        <v>63104</v>
      </c>
      <c r="E17" s="6">
        <v>38341</v>
      </c>
    </row>
    <row r="18" spans="1:5" ht="15" x14ac:dyDescent="0.25">
      <c r="A18" s="5" t="s">
        <v>18</v>
      </c>
      <c r="B18" s="6">
        <v>3757042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2038164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34190</v>
      </c>
      <c r="C20" s="6">
        <v>3947</v>
      </c>
      <c r="D20" s="6" t="s">
        <v>8</v>
      </c>
      <c r="E20" s="6">
        <v>3947</v>
      </c>
    </row>
    <row r="21" spans="1:5" ht="15" x14ac:dyDescent="0.25">
      <c r="A21" s="5" t="s">
        <v>21</v>
      </c>
      <c r="B21" s="6">
        <v>307367</v>
      </c>
      <c r="C21" s="6">
        <v>110151</v>
      </c>
      <c r="D21" s="6">
        <v>19690</v>
      </c>
      <c r="E21" s="6">
        <v>90461</v>
      </c>
    </row>
    <row r="22" spans="1:5" ht="15" x14ac:dyDescent="0.25">
      <c r="A22" s="5" t="s">
        <v>22</v>
      </c>
      <c r="B22" s="6">
        <v>342379</v>
      </c>
      <c r="C22" s="6">
        <v>61613</v>
      </c>
      <c r="D22" s="6">
        <v>61613</v>
      </c>
      <c r="E22" s="6">
        <v>0</v>
      </c>
    </row>
    <row r="23" spans="1:5" ht="15" x14ac:dyDescent="0.25">
      <c r="A23" s="5" t="s">
        <v>23</v>
      </c>
      <c r="B23" s="6">
        <v>2638924</v>
      </c>
      <c r="C23" s="6">
        <v>684331</v>
      </c>
      <c r="D23" s="6">
        <v>577335</v>
      </c>
      <c r="E23" s="6">
        <v>106996</v>
      </c>
    </row>
    <row r="24" spans="1:5" ht="15" x14ac:dyDescent="0.25">
      <c r="A24" s="5" t="s">
        <v>24</v>
      </c>
      <c r="B24" s="6">
        <v>1353191</v>
      </c>
      <c r="C24" s="6">
        <v>323012</v>
      </c>
      <c r="D24" s="6">
        <v>323012</v>
      </c>
      <c r="E24" s="6">
        <v>0</v>
      </c>
    </row>
    <row r="25" spans="1:5" ht="15" x14ac:dyDescent="0.25">
      <c r="A25" s="5" t="s">
        <v>25</v>
      </c>
      <c r="B25" s="6">
        <v>599764</v>
      </c>
      <c r="C25" s="6">
        <v>175680</v>
      </c>
      <c r="D25" s="6">
        <v>160093</v>
      </c>
      <c r="E25" s="6">
        <v>15587</v>
      </c>
    </row>
    <row r="26" spans="1:5" ht="15" x14ac:dyDescent="0.25">
      <c r="A26" s="5" t="s">
        <v>26</v>
      </c>
      <c r="B26" s="6">
        <v>355796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1258173</v>
      </c>
      <c r="C27" s="6">
        <v>439965</v>
      </c>
      <c r="D27" s="6">
        <v>439965</v>
      </c>
      <c r="E27" s="6">
        <v>0</v>
      </c>
    </row>
    <row r="28" spans="1:5" ht="15" x14ac:dyDescent="0.25">
      <c r="A28" s="5" t="s">
        <v>28</v>
      </c>
      <c r="B28" s="6">
        <v>1618926</v>
      </c>
      <c r="C28" s="6">
        <v>479107</v>
      </c>
      <c r="D28" s="6">
        <v>479107</v>
      </c>
      <c r="E28" s="6">
        <v>0</v>
      </c>
    </row>
    <row r="29" spans="1:5" ht="15" x14ac:dyDescent="0.25">
      <c r="A29" s="5" t="s">
        <v>29</v>
      </c>
      <c r="B29" s="6">
        <v>284621</v>
      </c>
      <c r="C29" s="6">
        <v>49504</v>
      </c>
      <c r="D29" s="6">
        <v>37481</v>
      </c>
      <c r="E29" s="6">
        <v>12023</v>
      </c>
    </row>
    <row r="30" spans="1:5" ht="15" x14ac:dyDescent="0.25">
      <c r="A30" s="5" t="s">
        <v>30</v>
      </c>
      <c r="B30" s="6">
        <v>1252460</v>
      </c>
      <c r="C30" s="6">
        <v>311874</v>
      </c>
      <c r="D30" s="6">
        <v>311874</v>
      </c>
      <c r="E30" s="6">
        <v>0</v>
      </c>
    </row>
    <row r="31" spans="1:5" ht="15" x14ac:dyDescent="0.25">
      <c r="A31" s="5" t="s">
        <v>31</v>
      </c>
      <c r="B31" s="6">
        <v>1693087</v>
      </c>
      <c r="C31" s="6">
        <v>330481</v>
      </c>
      <c r="D31" s="6">
        <v>0</v>
      </c>
      <c r="E31" s="6">
        <v>330481</v>
      </c>
    </row>
    <row r="32" spans="1:5" ht="15" x14ac:dyDescent="0.25">
      <c r="A32" s="5" t="s">
        <v>32</v>
      </c>
      <c r="B32" s="6">
        <v>2404312</v>
      </c>
      <c r="C32" s="6">
        <v>684039</v>
      </c>
      <c r="D32" s="6">
        <v>636337</v>
      </c>
      <c r="E32" s="6">
        <v>47702</v>
      </c>
    </row>
    <row r="33" spans="1:5" ht="15" x14ac:dyDescent="0.25">
      <c r="A33" s="5" t="s">
        <v>33</v>
      </c>
      <c r="B33" s="6">
        <v>1057545</v>
      </c>
      <c r="C33" s="6">
        <v>187800</v>
      </c>
      <c r="D33" s="6">
        <v>187030</v>
      </c>
      <c r="E33" s="6">
        <v>770</v>
      </c>
    </row>
    <row r="34" spans="1:5" ht="15" x14ac:dyDescent="0.25">
      <c r="A34" s="5" t="s">
        <v>34</v>
      </c>
      <c r="B34" s="6">
        <v>671258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834430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239252</v>
      </c>
      <c r="C36" s="6">
        <v>88550</v>
      </c>
      <c r="D36" s="6">
        <v>88550</v>
      </c>
      <c r="E36" s="6">
        <v>0</v>
      </c>
    </row>
    <row r="37" spans="1:5" ht="15" x14ac:dyDescent="0.25">
      <c r="A37" s="5" t="s">
        <v>37</v>
      </c>
      <c r="B37" s="6">
        <v>16476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239083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581038</v>
      </c>
      <c r="C39" s="6">
        <v>208806</v>
      </c>
      <c r="D39" s="6">
        <v>208806</v>
      </c>
      <c r="E39" s="6">
        <v>0</v>
      </c>
    </row>
    <row r="40" spans="1:5" ht="15" x14ac:dyDescent="0.25">
      <c r="A40" s="5" t="s">
        <v>40</v>
      </c>
      <c r="B40" s="6">
        <v>181751</v>
      </c>
      <c r="C40" s="6">
        <v>53939</v>
      </c>
      <c r="D40" s="6">
        <v>53667</v>
      </c>
      <c r="E40" s="6">
        <v>272</v>
      </c>
    </row>
    <row r="41" spans="1:5" ht="15" x14ac:dyDescent="0.25">
      <c r="A41" s="5" t="s">
        <v>41</v>
      </c>
      <c r="B41" s="6">
        <v>1593553</v>
      </c>
      <c r="C41" s="6">
        <v>528565</v>
      </c>
      <c r="D41" s="6">
        <v>528565</v>
      </c>
      <c r="E41" s="6">
        <v>0</v>
      </c>
    </row>
    <row r="42" spans="1:5" ht="15" x14ac:dyDescent="0.25">
      <c r="A42" s="5" t="s">
        <v>42</v>
      </c>
      <c r="B42" s="6">
        <v>833939</v>
      </c>
      <c r="C42" s="6">
        <v>265559</v>
      </c>
      <c r="D42" s="6">
        <v>265559</v>
      </c>
      <c r="E42" s="6">
        <v>0</v>
      </c>
    </row>
    <row r="43" spans="1:5" ht="15" x14ac:dyDescent="0.25">
      <c r="A43" s="5" t="s">
        <v>43</v>
      </c>
      <c r="B43" s="6">
        <v>6059971</v>
      </c>
      <c r="C43" s="6">
        <v>1856298</v>
      </c>
      <c r="D43" s="6">
        <v>308174</v>
      </c>
      <c r="E43" s="6">
        <v>1548124</v>
      </c>
    </row>
    <row r="44" spans="1:5" ht="15" x14ac:dyDescent="0.25">
      <c r="A44" s="5" t="s">
        <v>44</v>
      </c>
      <c r="B44" s="6">
        <v>2153000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90038</v>
      </c>
      <c r="C45" s="6">
        <v>20396</v>
      </c>
      <c r="D45" s="6">
        <v>19410</v>
      </c>
      <c r="E45" s="6">
        <v>986</v>
      </c>
    </row>
    <row r="46" spans="1:5" ht="15" x14ac:dyDescent="0.25">
      <c r="A46" s="5" t="s">
        <v>46</v>
      </c>
      <c r="B46" s="6">
        <v>2756472</v>
      </c>
      <c r="C46" s="6">
        <v>578807</v>
      </c>
      <c r="D46" s="6">
        <v>578516</v>
      </c>
      <c r="E46" s="6">
        <v>291</v>
      </c>
    </row>
    <row r="47" spans="1:5" ht="15" x14ac:dyDescent="0.25">
      <c r="A47" s="5" t="s">
        <v>47</v>
      </c>
      <c r="B47" s="6">
        <v>634873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978729</v>
      </c>
      <c r="C48" s="6">
        <v>478093</v>
      </c>
      <c r="D48" s="6">
        <v>392861</v>
      </c>
      <c r="E48" s="6">
        <v>85232</v>
      </c>
    </row>
    <row r="49" spans="1:5" ht="15" x14ac:dyDescent="0.25">
      <c r="A49" s="5" t="s">
        <v>49</v>
      </c>
      <c r="B49" s="6">
        <v>2829830</v>
      </c>
      <c r="C49" s="6">
        <v>764255</v>
      </c>
      <c r="D49" s="6">
        <v>726206</v>
      </c>
      <c r="E49" s="6">
        <v>38049</v>
      </c>
    </row>
    <row r="50" spans="1:5" ht="15" x14ac:dyDescent="0.25">
      <c r="A50" s="5" t="s">
        <v>50</v>
      </c>
      <c r="B50" s="6">
        <v>1153937</v>
      </c>
      <c r="C50" s="6">
        <v>401981</v>
      </c>
      <c r="D50" s="6" t="s">
        <v>8</v>
      </c>
      <c r="E50" s="6">
        <v>401981</v>
      </c>
    </row>
    <row r="51" spans="1:5" ht="15" x14ac:dyDescent="0.25">
      <c r="A51" s="5" t="s">
        <v>51</v>
      </c>
      <c r="B51" s="6">
        <v>286177</v>
      </c>
      <c r="C51" s="6">
        <v>63214</v>
      </c>
      <c r="D51" s="6">
        <v>63214</v>
      </c>
      <c r="E51" s="6">
        <v>0</v>
      </c>
    </row>
    <row r="52" spans="1:5" ht="15" x14ac:dyDescent="0.25">
      <c r="A52" s="5" t="s">
        <v>52</v>
      </c>
      <c r="B52" s="6">
        <v>1264182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103113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1590345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4147182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300013</v>
      </c>
      <c r="C56" s="6">
        <v>47999</v>
      </c>
      <c r="D56" s="6">
        <v>47259</v>
      </c>
      <c r="E56" s="6">
        <v>740</v>
      </c>
    </row>
    <row r="57" spans="1:5" ht="15" x14ac:dyDescent="0.25">
      <c r="A57" s="5" t="s">
        <v>57</v>
      </c>
      <c r="B57" s="6">
        <v>163155</v>
      </c>
      <c r="C57" s="6">
        <v>53983</v>
      </c>
      <c r="D57" s="6">
        <v>0</v>
      </c>
      <c r="E57" s="6">
        <v>53983</v>
      </c>
    </row>
    <row r="58" spans="1:5" ht="15" x14ac:dyDescent="0.25">
      <c r="A58" s="5" t="s">
        <v>58</v>
      </c>
      <c r="B58" s="6">
        <v>30971</v>
      </c>
      <c r="C58" s="6">
        <v>14481</v>
      </c>
      <c r="D58" s="6" t="s">
        <v>8</v>
      </c>
      <c r="E58" s="6">
        <v>14481</v>
      </c>
    </row>
    <row r="59" spans="1:5" ht="15" x14ac:dyDescent="0.25">
      <c r="A59" s="5" t="s">
        <v>59</v>
      </c>
      <c r="B59" s="6">
        <v>1357183</v>
      </c>
      <c r="C59" s="6">
        <v>381927</v>
      </c>
      <c r="D59" s="6">
        <v>381927</v>
      </c>
      <c r="E59" s="6">
        <v>0</v>
      </c>
    </row>
    <row r="60" spans="1:5" ht="15" x14ac:dyDescent="0.25">
      <c r="A60" s="5" t="s">
        <v>60</v>
      </c>
      <c r="B60" s="6">
        <v>1724834</v>
      </c>
      <c r="C60" s="6">
        <v>554982</v>
      </c>
      <c r="D60" s="6">
        <v>540499</v>
      </c>
      <c r="E60" s="6">
        <v>14483</v>
      </c>
    </row>
    <row r="61" spans="1:5" ht="15" x14ac:dyDescent="0.25">
      <c r="A61" s="5" t="s">
        <v>61</v>
      </c>
      <c r="B61" s="6">
        <v>519303</v>
      </c>
      <c r="C61" s="6">
        <v>162324</v>
      </c>
      <c r="D61" s="6">
        <v>162324</v>
      </c>
      <c r="E61" s="6">
        <v>0</v>
      </c>
    </row>
    <row r="62" spans="1:5" ht="15" x14ac:dyDescent="0.25">
      <c r="A62" s="5" t="s">
        <v>62</v>
      </c>
      <c r="B62" s="6">
        <v>1185037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54069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74443888</v>
      </c>
      <c r="C64" s="8">
        <f>SUM(C8:C63)</f>
        <v>15542456</v>
      </c>
      <c r="D64" s="8">
        <f>SUM(D8:D63)</f>
        <v>12300921</v>
      </c>
      <c r="E64" s="8">
        <f>SUM(E8:E63)</f>
        <v>3241535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0A16-78C0-4F81-9A6F-D63EFE437CD1}">
  <sheetPr>
    <pageSetUpPr fitToPage="1"/>
  </sheetPr>
  <dimension ref="A1:E83"/>
  <sheetViews>
    <sheetView workbookViewId="0">
      <pane ySplit="7" topLeftCell="A52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120</v>
      </c>
      <c r="B2" s="2"/>
      <c r="C2" s="2"/>
      <c r="D2" s="2"/>
      <c r="E2" s="2"/>
    </row>
    <row r="3" spans="1:5" ht="15" x14ac:dyDescent="0.25">
      <c r="A3" s="2" t="s">
        <v>111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1054155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215774</v>
      </c>
      <c r="C9" s="6">
        <v>55753</v>
      </c>
      <c r="D9" s="6">
        <v>55746</v>
      </c>
      <c r="E9" s="6">
        <v>7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1877209</v>
      </c>
      <c r="C11" s="6">
        <v>437132</v>
      </c>
      <c r="D11" s="6">
        <v>105444</v>
      </c>
      <c r="E11" s="6">
        <v>331688</v>
      </c>
    </row>
    <row r="12" spans="1:5" ht="15" x14ac:dyDescent="0.25">
      <c r="A12" s="5" t="s">
        <v>12</v>
      </c>
      <c r="B12" s="6">
        <v>829713</v>
      </c>
      <c r="C12" s="6">
        <v>258175</v>
      </c>
      <c r="D12" s="6">
        <v>257349</v>
      </c>
      <c r="E12" s="6">
        <v>826</v>
      </c>
    </row>
    <row r="13" spans="1:5" ht="15" x14ac:dyDescent="0.25">
      <c r="A13" s="5" t="s">
        <v>13</v>
      </c>
      <c r="B13" s="6">
        <v>12033113</v>
      </c>
      <c r="C13" s="6">
        <v>3552016</v>
      </c>
      <c r="D13" s="6">
        <v>3528197</v>
      </c>
      <c r="E13" s="6">
        <v>23819</v>
      </c>
    </row>
    <row r="14" spans="1:5" ht="15" x14ac:dyDescent="0.25">
      <c r="A14" s="5" t="s">
        <v>14</v>
      </c>
      <c r="B14" s="6">
        <v>1194449</v>
      </c>
      <c r="C14" s="6">
        <v>371796</v>
      </c>
      <c r="D14" s="6">
        <v>364566</v>
      </c>
      <c r="E14" s="6">
        <v>7230</v>
      </c>
    </row>
    <row r="15" spans="1:5" ht="15" x14ac:dyDescent="0.25">
      <c r="A15" s="5" t="s">
        <v>15</v>
      </c>
      <c r="B15" s="6">
        <v>952488</v>
      </c>
      <c r="C15" s="6">
        <v>267129</v>
      </c>
      <c r="D15" s="6">
        <v>242080</v>
      </c>
      <c r="E15" s="6">
        <v>25049</v>
      </c>
    </row>
    <row r="16" spans="1:5" ht="15" x14ac:dyDescent="0.25">
      <c r="A16" s="5" t="s">
        <v>16</v>
      </c>
      <c r="B16" s="6">
        <v>213664</v>
      </c>
      <c r="C16" s="6">
        <v>62896</v>
      </c>
      <c r="D16" s="6">
        <v>9558</v>
      </c>
      <c r="E16" s="6">
        <v>53338</v>
      </c>
    </row>
    <row r="17" spans="1:5" ht="15" x14ac:dyDescent="0.25">
      <c r="A17" s="5" t="s">
        <v>17</v>
      </c>
      <c r="B17" s="6">
        <v>253594</v>
      </c>
      <c r="C17" s="6">
        <v>102354</v>
      </c>
      <c r="D17" s="6">
        <v>63450</v>
      </c>
      <c r="E17" s="6">
        <v>38904</v>
      </c>
    </row>
    <row r="18" spans="1:5" ht="15" x14ac:dyDescent="0.25">
      <c r="A18" s="5" t="s">
        <v>18</v>
      </c>
      <c r="B18" s="6">
        <v>3722742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2025819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33607</v>
      </c>
      <c r="C20" s="6">
        <v>3843</v>
      </c>
      <c r="D20" s="6" t="s">
        <v>8</v>
      </c>
      <c r="E20" s="6">
        <v>3843</v>
      </c>
    </row>
    <row r="21" spans="1:5" ht="15" x14ac:dyDescent="0.25">
      <c r="A21" s="5" t="s">
        <v>21</v>
      </c>
      <c r="B21" s="6">
        <v>309968</v>
      </c>
      <c r="C21" s="6">
        <v>112076</v>
      </c>
      <c r="D21" s="6">
        <v>19986</v>
      </c>
      <c r="E21" s="6">
        <v>92090</v>
      </c>
    </row>
    <row r="22" spans="1:5" ht="15" x14ac:dyDescent="0.25">
      <c r="A22" s="5" t="s">
        <v>22</v>
      </c>
      <c r="B22" s="6">
        <v>348389</v>
      </c>
      <c r="C22" s="6">
        <v>64662</v>
      </c>
      <c r="D22" s="6">
        <v>64662</v>
      </c>
      <c r="E22" s="6">
        <v>0</v>
      </c>
    </row>
    <row r="23" spans="1:5" ht="15" x14ac:dyDescent="0.25">
      <c r="A23" s="5" t="s">
        <v>23</v>
      </c>
      <c r="B23" s="6">
        <v>2644815</v>
      </c>
      <c r="C23" s="6">
        <v>684423</v>
      </c>
      <c r="D23" s="6">
        <v>578327</v>
      </c>
      <c r="E23" s="6">
        <v>106096</v>
      </c>
    </row>
    <row r="24" spans="1:5" ht="15" x14ac:dyDescent="0.25">
      <c r="A24" s="5" t="s">
        <v>24</v>
      </c>
      <c r="B24" s="6">
        <v>1359758</v>
      </c>
      <c r="C24" s="6">
        <v>336812</v>
      </c>
      <c r="D24" s="6">
        <v>336812</v>
      </c>
      <c r="E24" s="6">
        <v>0</v>
      </c>
    </row>
    <row r="25" spans="1:5" ht="15" x14ac:dyDescent="0.25">
      <c r="A25" s="5" t="s">
        <v>25</v>
      </c>
      <c r="B25" s="6">
        <v>602417</v>
      </c>
      <c r="C25" s="6">
        <v>176903</v>
      </c>
      <c r="D25" s="6">
        <v>161639</v>
      </c>
      <c r="E25" s="6">
        <v>15264</v>
      </c>
    </row>
    <row r="26" spans="1:5" ht="15" x14ac:dyDescent="0.25">
      <c r="A26" s="5" t="s">
        <v>26</v>
      </c>
      <c r="B26" s="6">
        <v>355805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1275868</v>
      </c>
      <c r="C27" s="6">
        <v>447391</v>
      </c>
      <c r="D27" s="6">
        <v>447391</v>
      </c>
      <c r="E27" s="6">
        <v>0</v>
      </c>
    </row>
    <row r="28" spans="1:5" ht="15" x14ac:dyDescent="0.25">
      <c r="A28" s="5" t="s">
        <v>28</v>
      </c>
      <c r="B28" s="6">
        <v>1616933</v>
      </c>
      <c r="C28" s="6">
        <v>484532</v>
      </c>
      <c r="D28" s="6">
        <v>484532</v>
      </c>
      <c r="E28" s="6">
        <v>0</v>
      </c>
    </row>
    <row r="29" spans="1:5" ht="15" x14ac:dyDescent="0.25">
      <c r="A29" s="5" t="s">
        <v>29</v>
      </c>
      <c r="B29" s="6">
        <v>289016</v>
      </c>
      <c r="C29" s="6">
        <v>51632</v>
      </c>
      <c r="D29" s="6">
        <v>39367</v>
      </c>
      <c r="E29" s="6">
        <v>12265</v>
      </c>
    </row>
    <row r="30" spans="1:5" ht="15" x14ac:dyDescent="0.25">
      <c r="A30" s="5" t="s">
        <v>30</v>
      </c>
      <c r="B30" s="6">
        <v>1258254</v>
      </c>
      <c r="C30" s="6">
        <v>314955</v>
      </c>
      <c r="D30" s="6">
        <v>314955</v>
      </c>
      <c r="E30" s="6">
        <v>0</v>
      </c>
    </row>
    <row r="31" spans="1:5" ht="15" x14ac:dyDescent="0.25">
      <c r="A31" s="5" t="s">
        <v>31</v>
      </c>
      <c r="B31" s="6">
        <v>1707448</v>
      </c>
      <c r="C31" s="6">
        <v>341139</v>
      </c>
      <c r="D31" s="6">
        <v>0</v>
      </c>
      <c r="E31" s="6">
        <v>341139</v>
      </c>
    </row>
    <row r="32" spans="1:5" ht="15" x14ac:dyDescent="0.25">
      <c r="A32" s="5" t="s">
        <v>32</v>
      </c>
      <c r="B32" s="6">
        <v>2421538</v>
      </c>
      <c r="C32" s="6">
        <v>691982</v>
      </c>
      <c r="D32" s="6">
        <v>646014</v>
      </c>
      <c r="E32" s="6">
        <v>45968</v>
      </c>
    </row>
    <row r="33" spans="1:5" ht="15" x14ac:dyDescent="0.25">
      <c r="A33" s="5" t="s">
        <v>33</v>
      </c>
      <c r="B33" s="6">
        <v>1044506</v>
      </c>
      <c r="C33" s="6">
        <v>185813</v>
      </c>
      <c r="D33" s="6">
        <v>185056</v>
      </c>
      <c r="E33" s="6">
        <v>757</v>
      </c>
    </row>
    <row r="34" spans="1:5" ht="15" x14ac:dyDescent="0.25">
      <c r="A34" s="5" t="s">
        <v>34</v>
      </c>
      <c r="B34" s="6">
        <v>670300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846577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236749</v>
      </c>
      <c r="C36" s="6">
        <v>87425</v>
      </c>
      <c r="D36" s="6">
        <v>87425</v>
      </c>
      <c r="E36" s="6">
        <v>0</v>
      </c>
    </row>
    <row r="37" spans="1:5" ht="15" x14ac:dyDescent="0.25">
      <c r="A37" s="5" t="s">
        <v>37</v>
      </c>
      <c r="B37" s="6">
        <v>16861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238922</v>
      </c>
      <c r="C38" s="6" t="s">
        <v>8</v>
      </c>
      <c r="D38" s="6" t="s">
        <v>8</v>
      </c>
      <c r="E38" s="6" t="s">
        <v>8</v>
      </c>
    </row>
    <row r="39" spans="1:5" ht="15" x14ac:dyDescent="0.25">
      <c r="A39" s="5" t="s">
        <v>39</v>
      </c>
      <c r="B39" s="6">
        <v>583234</v>
      </c>
      <c r="C39" s="6">
        <v>210538</v>
      </c>
      <c r="D39" s="6">
        <v>210538</v>
      </c>
      <c r="E39" s="6">
        <v>0</v>
      </c>
    </row>
    <row r="40" spans="1:5" ht="15" x14ac:dyDescent="0.25">
      <c r="A40" s="5" t="s">
        <v>40</v>
      </c>
      <c r="B40" s="6">
        <v>183234</v>
      </c>
      <c r="C40" s="6">
        <v>54902</v>
      </c>
      <c r="D40" s="6">
        <v>54623</v>
      </c>
      <c r="E40" s="6">
        <v>279</v>
      </c>
    </row>
    <row r="41" spans="1:5" ht="15" x14ac:dyDescent="0.25">
      <c r="A41" s="5" t="s">
        <v>41</v>
      </c>
      <c r="B41" s="6">
        <v>1589121</v>
      </c>
      <c r="C41" s="6">
        <v>527959</v>
      </c>
      <c r="D41" s="6">
        <v>527959</v>
      </c>
      <c r="E41" s="6">
        <v>0</v>
      </c>
    </row>
    <row r="42" spans="1:5" ht="15" x14ac:dyDescent="0.25">
      <c r="A42" s="5" t="s">
        <v>42</v>
      </c>
      <c r="B42" s="6">
        <v>831724</v>
      </c>
      <c r="C42" s="6">
        <v>264036</v>
      </c>
      <c r="D42" s="6">
        <v>264036</v>
      </c>
      <c r="E42" s="6">
        <v>0</v>
      </c>
    </row>
    <row r="43" spans="1:5" ht="15" x14ac:dyDescent="0.25">
      <c r="A43" s="5" t="s">
        <v>43</v>
      </c>
      <c r="B43" s="6">
        <v>6069271</v>
      </c>
      <c r="C43" s="6">
        <v>1868886</v>
      </c>
      <c r="D43" s="6">
        <v>311048</v>
      </c>
      <c r="E43" s="6">
        <v>1557838</v>
      </c>
    </row>
    <row r="44" spans="1:5" ht="15" x14ac:dyDescent="0.25">
      <c r="A44" s="5" t="s">
        <v>44</v>
      </c>
      <c r="B44" s="6">
        <v>2149751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89102</v>
      </c>
      <c r="C45" s="6">
        <v>19814</v>
      </c>
      <c r="D45" s="6">
        <v>18846</v>
      </c>
      <c r="E45" s="6">
        <v>968</v>
      </c>
    </row>
    <row r="46" spans="1:5" ht="15" x14ac:dyDescent="0.25">
      <c r="A46" s="5" t="s">
        <v>46</v>
      </c>
      <c r="B46" s="6">
        <v>2746541</v>
      </c>
      <c r="C46" s="6">
        <v>565498</v>
      </c>
      <c r="D46" s="6">
        <v>565205</v>
      </c>
      <c r="E46" s="6">
        <v>293</v>
      </c>
    </row>
    <row r="47" spans="1:5" ht="15" x14ac:dyDescent="0.25">
      <c r="A47" s="5" t="s">
        <v>47</v>
      </c>
      <c r="B47" s="6">
        <v>657059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979915</v>
      </c>
      <c r="C48" s="6">
        <v>480418</v>
      </c>
      <c r="D48" s="6">
        <v>395374</v>
      </c>
      <c r="E48" s="6">
        <v>85044</v>
      </c>
    </row>
    <row r="49" spans="1:5" ht="15" x14ac:dyDescent="0.25">
      <c r="A49" s="5" t="s">
        <v>49</v>
      </c>
      <c r="B49" s="6">
        <v>2837782</v>
      </c>
      <c r="C49" s="6">
        <v>769508</v>
      </c>
      <c r="D49" s="6">
        <v>731135</v>
      </c>
      <c r="E49" s="6">
        <v>38373</v>
      </c>
    </row>
    <row r="50" spans="1:5" ht="15" x14ac:dyDescent="0.25">
      <c r="A50" s="5" t="s">
        <v>50</v>
      </c>
      <c r="B50" s="6">
        <v>1145450</v>
      </c>
      <c r="C50" s="6">
        <v>400052</v>
      </c>
      <c r="D50" s="6" t="s">
        <v>8</v>
      </c>
      <c r="E50" s="6">
        <v>400052</v>
      </c>
    </row>
    <row r="51" spans="1:5" ht="15" x14ac:dyDescent="0.25">
      <c r="A51" s="5" t="s">
        <v>51</v>
      </c>
      <c r="B51" s="6">
        <v>288154</v>
      </c>
      <c r="C51" s="6">
        <v>64223</v>
      </c>
      <c r="D51" s="6">
        <v>64223</v>
      </c>
      <c r="E51" s="6">
        <v>0</v>
      </c>
    </row>
    <row r="52" spans="1:5" ht="15" x14ac:dyDescent="0.25">
      <c r="A52" s="5" t="s">
        <v>52</v>
      </c>
      <c r="B52" s="6">
        <v>1256038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102861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1575073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4158007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302259</v>
      </c>
      <c r="C56" s="6">
        <v>50240</v>
      </c>
      <c r="D56" s="6">
        <v>49544</v>
      </c>
      <c r="E56" s="6">
        <v>696</v>
      </c>
    </row>
    <row r="57" spans="1:5" ht="15" x14ac:dyDescent="0.25">
      <c r="A57" s="5" t="s">
        <v>57</v>
      </c>
      <c r="B57" s="6">
        <v>165180</v>
      </c>
      <c r="C57" s="6">
        <v>55609</v>
      </c>
      <c r="D57" s="6">
        <v>0</v>
      </c>
      <c r="E57" s="6">
        <v>55609</v>
      </c>
    </row>
    <row r="58" spans="1:5" ht="15" x14ac:dyDescent="0.25">
      <c r="A58" s="5" t="s">
        <v>58</v>
      </c>
      <c r="B58" s="6">
        <v>31079</v>
      </c>
      <c r="C58" s="6">
        <v>14552</v>
      </c>
      <c r="D58" s="6" t="s">
        <v>8</v>
      </c>
      <c r="E58" s="6">
        <v>14552</v>
      </c>
    </row>
    <row r="59" spans="1:5" ht="15" x14ac:dyDescent="0.25">
      <c r="A59" s="5" t="s">
        <v>59</v>
      </c>
      <c r="B59" s="6">
        <v>1363807</v>
      </c>
      <c r="C59" s="6">
        <v>386989</v>
      </c>
      <c r="D59" s="6">
        <v>386989</v>
      </c>
      <c r="E59" s="6">
        <v>0</v>
      </c>
    </row>
    <row r="60" spans="1:5" ht="15" x14ac:dyDescent="0.25">
      <c r="A60" s="5" t="s">
        <v>60</v>
      </c>
      <c r="B60" s="6">
        <v>1727581</v>
      </c>
      <c r="C60" s="6">
        <v>560016</v>
      </c>
      <c r="D60" s="6">
        <v>545629</v>
      </c>
      <c r="E60" s="6">
        <v>14387</v>
      </c>
    </row>
    <row r="61" spans="1:5" ht="15" x14ac:dyDescent="0.25">
      <c r="A61" s="5" t="s">
        <v>61</v>
      </c>
      <c r="B61" s="6">
        <v>516523</v>
      </c>
      <c r="C61" s="6">
        <v>161759</v>
      </c>
      <c r="D61" s="6">
        <v>161759</v>
      </c>
      <c r="E61" s="6">
        <v>0</v>
      </c>
    </row>
    <row r="62" spans="1:5" ht="15" x14ac:dyDescent="0.25">
      <c r="A62" s="5" t="s">
        <v>62</v>
      </c>
      <c r="B62" s="6">
        <v>1186989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54765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74275953</v>
      </c>
      <c r="C64" s="8">
        <f>SUM(C8:C63)</f>
        <v>15545838</v>
      </c>
      <c r="D64" s="8">
        <f>SUM(D8:D63)</f>
        <v>12279464</v>
      </c>
      <c r="E64" s="8">
        <f>SUM(E8:E63)</f>
        <v>3266374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January 22, 2021 12:45 PM&amp;R&amp;"-,Regular"&amp;7Page : &amp;"-,Regular"&amp;7&amp;P&amp;"-,Regular"&amp;7 of &amp;"-,Regular"&amp;7&amp;N</oddFooter>
    <evenFooter>&amp;L&amp;"-,Regular"&amp;7Created On: Friday, January 22, 2021 12:45 PM&amp;R&amp;"-,Regular"&amp;7Page : &amp;"-,Regular"&amp;7&amp;P&amp;"-,Regular"&amp;7 of &amp;"-,Regular"&amp;7&amp;N</evenFooter>
    <firstFooter>&amp;L&amp;"-,Regular"&amp;7Created On: Friday, January 22, 2021 12:45 PM&amp;R&amp;"-,Regular"&amp;7Page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7B49-FBDE-4ED4-8950-DC02D2A13620}">
  <sheetPr>
    <pageSetUpPr fitToPage="1"/>
  </sheetPr>
  <dimension ref="A1:E89"/>
  <sheetViews>
    <sheetView workbookViewId="0">
      <pane ySplit="7" topLeftCell="A51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124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1063729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219037</v>
      </c>
      <c r="C9" s="6">
        <v>56934</v>
      </c>
      <c r="D9" s="6">
        <v>56931</v>
      </c>
      <c r="E9" s="6">
        <v>3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1916119</v>
      </c>
      <c r="C11" s="6">
        <v>447308</v>
      </c>
      <c r="D11" s="6">
        <v>107000</v>
      </c>
      <c r="E11" s="6">
        <v>340308</v>
      </c>
    </row>
    <row r="12" spans="1:5" ht="15" x14ac:dyDescent="0.25">
      <c r="A12" s="5" t="s">
        <v>12</v>
      </c>
      <c r="B12" s="6">
        <v>839997</v>
      </c>
      <c r="C12" s="6">
        <v>263586</v>
      </c>
      <c r="D12" s="6">
        <v>262732</v>
      </c>
      <c r="E12" s="6">
        <v>854</v>
      </c>
    </row>
    <row r="13" spans="1:5" ht="15" x14ac:dyDescent="0.25">
      <c r="A13" s="5" t="s">
        <v>122</v>
      </c>
      <c r="B13" s="6">
        <v>12380947</v>
      </c>
      <c r="C13" s="6">
        <v>3713452</v>
      </c>
      <c r="D13" s="6">
        <v>3688474</v>
      </c>
      <c r="E13" s="6">
        <v>24978</v>
      </c>
    </row>
    <row r="14" spans="1:5" ht="15" x14ac:dyDescent="0.25">
      <c r="A14" s="5" t="s">
        <v>14</v>
      </c>
      <c r="B14" s="6">
        <v>1224701</v>
      </c>
      <c r="C14" s="6">
        <v>387995</v>
      </c>
      <c r="D14" s="6">
        <v>380126</v>
      </c>
      <c r="E14" s="6">
        <v>7869</v>
      </c>
    </row>
    <row r="15" spans="1:5" ht="15" x14ac:dyDescent="0.25">
      <c r="A15" s="5" t="s">
        <v>15</v>
      </c>
      <c r="B15" s="6">
        <v>971365</v>
      </c>
      <c r="C15" s="6">
        <v>276562</v>
      </c>
      <c r="D15" s="6">
        <v>250855</v>
      </c>
      <c r="E15" s="6">
        <v>25707</v>
      </c>
    </row>
    <row r="16" spans="1:5" ht="15" x14ac:dyDescent="0.25">
      <c r="A16" s="5" t="s">
        <v>16</v>
      </c>
      <c r="B16" s="6">
        <v>216877</v>
      </c>
      <c r="C16" s="6">
        <v>64052</v>
      </c>
      <c r="D16" s="6">
        <v>9644</v>
      </c>
      <c r="E16" s="6">
        <v>54408</v>
      </c>
    </row>
    <row r="17" spans="1:5" ht="15" x14ac:dyDescent="0.25">
      <c r="A17" s="5" t="s">
        <v>17</v>
      </c>
      <c r="B17" s="6">
        <v>257688</v>
      </c>
      <c r="C17" s="6">
        <v>104682</v>
      </c>
      <c r="D17" s="6">
        <v>64959</v>
      </c>
      <c r="E17" s="6">
        <v>39723</v>
      </c>
    </row>
    <row r="18" spans="1:5" ht="15" x14ac:dyDescent="0.25">
      <c r="A18" s="5" t="s">
        <v>18</v>
      </c>
      <c r="B18" s="6">
        <v>3943838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2028836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34496</v>
      </c>
      <c r="C20" s="6">
        <v>4229</v>
      </c>
      <c r="D20" s="6" t="s">
        <v>8</v>
      </c>
      <c r="E20" s="6">
        <v>4229</v>
      </c>
    </row>
    <row r="21" spans="1:5" ht="15" x14ac:dyDescent="0.25">
      <c r="A21" s="5" t="s">
        <v>21</v>
      </c>
      <c r="B21" s="6">
        <v>318070</v>
      </c>
      <c r="C21" s="6">
        <v>116329</v>
      </c>
      <c r="D21" s="6">
        <v>19271</v>
      </c>
      <c r="E21" s="6">
        <v>97058</v>
      </c>
    </row>
    <row r="22" spans="1:5" ht="15" x14ac:dyDescent="0.25">
      <c r="A22" s="5" t="s">
        <v>22</v>
      </c>
      <c r="B22" s="6">
        <v>358616</v>
      </c>
      <c r="C22" s="6">
        <v>69012</v>
      </c>
      <c r="D22" s="6">
        <v>69012</v>
      </c>
      <c r="E22" s="6">
        <v>0</v>
      </c>
    </row>
    <row r="23" spans="1:5" ht="15" x14ac:dyDescent="0.25">
      <c r="A23" s="5" t="s">
        <v>23</v>
      </c>
      <c r="B23" s="6">
        <v>2713248</v>
      </c>
      <c r="C23" s="6">
        <v>712712</v>
      </c>
      <c r="D23" s="6">
        <v>606814</v>
      </c>
      <c r="E23" s="6">
        <v>105898</v>
      </c>
    </row>
    <row r="24" spans="1:5" ht="15" x14ac:dyDescent="0.25">
      <c r="A24" s="5" t="s">
        <v>24</v>
      </c>
      <c r="B24" s="6">
        <v>1428654</v>
      </c>
      <c r="C24" s="6">
        <v>359030</v>
      </c>
      <c r="D24" s="6">
        <v>359030</v>
      </c>
      <c r="E24" s="6">
        <v>0</v>
      </c>
    </row>
    <row r="25" spans="1:5" ht="15" x14ac:dyDescent="0.25">
      <c r="A25" s="5" t="s">
        <v>25</v>
      </c>
      <c r="B25" s="6">
        <v>613206</v>
      </c>
      <c r="C25" s="6">
        <v>182293</v>
      </c>
      <c r="D25" s="6">
        <v>164500</v>
      </c>
      <c r="E25" s="6">
        <v>17793</v>
      </c>
    </row>
    <row r="26" spans="1:5" ht="15" x14ac:dyDescent="0.25">
      <c r="A26" s="5" t="s">
        <v>26</v>
      </c>
      <c r="B26" s="6">
        <v>360497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1334076</v>
      </c>
      <c r="C27" s="6">
        <v>479906</v>
      </c>
      <c r="D27" s="6">
        <v>479906</v>
      </c>
      <c r="E27" s="6">
        <v>0</v>
      </c>
    </row>
    <row r="28" spans="1:5" ht="15" x14ac:dyDescent="0.25">
      <c r="A28" s="5" t="s">
        <v>28</v>
      </c>
      <c r="B28" s="6">
        <v>1660978</v>
      </c>
      <c r="C28" s="6">
        <v>510425</v>
      </c>
      <c r="D28" s="6">
        <v>510425</v>
      </c>
      <c r="E28" s="6">
        <v>0</v>
      </c>
    </row>
    <row r="29" spans="1:5" ht="15" x14ac:dyDescent="0.25">
      <c r="A29" s="5" t="s">
        <v>29</v>
      </c>
      <c r="B29" s="6">
        <v>296032</v>
      </c>
      <c r="C29" s="6">
        <v>54534</v>
      </c>
      <c r="D29" s="6">
        <v>42392</v>
      </c>
      <c r="E29" s="6">
        <v>12142</v>
      </c>
    </row>
    <row r="30" spans="1:5" ht="15" x14ac:dyDescent="0.25">
      <c r="A30" s="5" t="s">
        <v>30</v>
      </c>
      <c r="B30" s="6">
        <v>1268661</v>
      </c>
      <c r="C30" s="6">
        <v>321879</v>
      </c>
      <c r="D30" s="6">
        <v>321879</v>
      </c>
      <c r="E30" s="6">
        <v>0</v>
      </c>
    </row>
    <row r="31" spans="1:5" ht="15" x14ac:dyDescent="0.25">
      <c r="A31" s="5" t="s">
        <v>31</v>
      </c>
      <c r="B31" s="6">
        <v>1707432</v>
      </c>
      <c r="C31" s="6">
        <v>347887</v>
      </c>
      <c r="D31" s="6">
        <v>0</v>
      </c>
      <c r="E31" s="6">
        <v>347887</v>
      </c>
    </row>
    <row r="32" spans="1:5" ht="15" x14ac:dyDescent="0.25">
      <c r="A32" s="5" t="s">
        <v>32</v>
      </c>
      <c r="B32" s="6">
        <v>2465001</v>
      </c>
      <c r="C32" s="6">
        <v>708445</v>
      </c>
      <c r="D32" s="6">
        <v>660034</v>
      </c>
      <c r="E32" s="6">
        <v>48411</v>
      </c>
    </row>
    <row r="33" spans="1:5" ht="15" x14ac:dyDescent="0.25">
      <c r="A33" s="5" t="s">
        <v>33</v>
      </c>
      <c r="B33" s="6">
        <v>1086222</v>
      </c>
      <c r="C33" s="6">
        <v>197841</v>
      </c>
      <c r="D33" s="6">
        <v>197333</v>
      </c>
      <c r="E33" s="6">
        <v>508</v>
      </c>
    </row>
    <row r="34" spans="1:5" ht="15" x14ac:dyDescent="0.25">
      <c r="A34" s="5" t="s">
        <v>34</v>
      </c>
      <c r="B34" s="6">
        <v>667610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884673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240538</v>
      </c>
      <c r="C36" s="6">
        <v>88868</v>
      </c>
      <c r="D36" s="6">
        <v>88868</v>
      </c>
      <c r="E36" s="6">
        <v>0</v>
      </c>
    </row>
    <row r="37" spans="1:5" ht="15" x14ac:dyDescent="0.25">
      <c r="A37" s="5" t="s">
        <v>37</v>
      </c>
      <c r="B37" s="6">
        <v>15915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241710</v>
      </c>
      <c r="C38" s="6">
        <v>0</v>
      </c>
      <c r="D38" s="6">
        <v>0</v>
      </c>
      <c r="E38" s="6">
        <v>0</v>
      </c>
    </row>
    <row r="39" spans="1:5" ht="15" x14ac:dyDescent="0.25">
      <c r="A39" s="5" t="s">
        <v>39</v>
      </c>
      <c r="B39" s="6">
        <v>608671</v>
      </c>
      <c r="C39" s="6">
        <v>221113</v>
      </c>
      <c r="D39" s="6">
        <v>221113</v>
      </c>
      <c r="E39" s="6">
        <v>0</v>
      </c>
    </row>
    <row r="40" spans="1:5" ht="15" x14ac:dyDescent="0.25">
      <c r="A40" s="5" t="s">
        <v>40</v>
      </c>
      <c r="B40" s="6">
        <v>187275</v>
      </c>
      <c r="C40" s="6">
        <v>56570</v>
      </c>
      <c r="D40" s="6">
        <v>56289</v>
      </c>
      <c r="E40" s="6">
        <v>281</v>
      </c>
    </row>
    <row r="41" spans="1:5" ht="15" x14ac:dyDescent="0.25">
      <c r="A41" s="5" t="s">
        <v>41</v>
      </c>
      <c r="B41" s="6">
        <v>1624308</v>
      </c>
      <c r="C41" s="6">
        <v>546796</v>
      </c>
      <c r="D41" s="6">
        <v>546796</v>
      </c>
      <c r="E41" s="6">
        <v>0</v>
      </c>
    </row>
    <row r="42" spans="1:5" ht="15" x14ac:dyDescent="0.25">
      <c r="A42" s="5" t="s">
        <v>42</v>
      </c>
      <c r="B42" s="6">
        <v>846818</v>
      </c>
      <c r="C42" s="6">
        <v>270756</v>
      </c>
      <c r="D42" s="6">
        <v>270756</v>
      </c>
      <c r="E42" s="6">
        <v>0</v>
      </c>
    </row>
    <row r="43" spans="1:5" ht="15" x14ac:dyDescent="0.25">
      <c r="A43" s="5" t="s">
        <v>43</v>
      </c>
      <c r="B43" s="6">
        <v>6179273</v>
      </c>
      <c r="C43" s="6">
        <v>1936491</v>
      </c>
      <c r="D43" s="6">
        <v>325209</v>
      </c>
      <c r="E43" s="6">
        <v>1611282</v>
      </c>
    </row>
    <row r="44" spans="1:5" ht="15" x14ac:dyDescent="0.25">
      <c r="A44" s="5" t="s">
        <v>44</v>
      </c>
      <c r="B44" s="6">
        <v>2192197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94573</v>
      </c>
      <c r="C45" s="6">
        <v>21528</v>
      </c>
      <c r="D45" s="6">
        <v>20429</v>
      </c>
      <c r="E45" s="6">
        <v>1099</v>
      </c>
    </row>
    <row r="46" spans="1:5" ht="15" x14ac:dyDescent="0.25">
      <c r="A46" s="5" t="s">
        <v>46</v>
      </c>
      <c r="B46" s="6">
        <v>2865708</v>
      </c>
      <c r="C46" s="6">
        <v>566910</v>
      </c>
      <c r="D46" s="6">
        <v>566594</v>
      </c>
      <c r="E46" s="6">
        <v>316</v>
      </c>
    </row>
    <row r="47" spans="1:5" ht="15" x14ac:dyDescent="0.25">
      <c r="A47" s="5" t="s">
        <v>47</v>
      </c>
      <c r="B47" s="6">
        <v>677003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1008483</v>
      </c>
      <c r="C48" s="6">
        <v>500627</v>
      </c>
      <c r="D48" s="6">
        <v>411822</v>
      </c>
      <c r="E48" s="6">
        <v>88805</v>
      </c>
    </row>
    <row r="49" spans="1:5" ht="15" x14ac:dyDescent="0.25">
      <c r="A49" s="5" t="s">
        <v>49</v>
      </c>
      <c r="B49" s="6">
        <v>2886869</v>
      </c>
      <c r="C49" s="6">
        <v>797227</v>
      </c>
      <c r="D49" s="6">
        <v>757130</v>
      </c>
      <c r="E49" s="6">
        <v>40097</v>
      </c>
    </row>
    <row r="50" spans="1:5" ht="15" x14ac:dyDescent="0.25">
      <c r="A50" s="5" t="s">
        <v>50</v>
      </c>
      <c r="B50" s="6">
        <v>1151185</v>
      </c>
      <c r="C50" s="6">
        <v>403839</v>
      </c>
      <c r="D50" s="6" t="s">
        <v>8</v>
      </c>
      <c r="E50" s="6">
        <v>403839</v>
      </c>
    </row>
    <row r="51" spans="1:5" ht="15" x14ac:dyDescent="0.25">
      <c r="A51" s="5" t="s">
        <v>51</v>
      </c>
      <c r="B51" s="6">
        <v>296178</v>
      </c>
      <c r="C51" s="6">
        <v>69348</v>
      </c>
      <c r="D51" s="6">
        <v>69348</v>
      </c>
      <c r="E51" s="6">
        <v>0</v>
      </c>
    </row>
    <row r="52" spans="1:5" ht="15" x14ac:dyDescent="0.25">
      <c r="A52" s="5" t="s">
        <v>52</v>
      </c>
      <c r="B52" s="6">
        <v>1277974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104300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1576964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4283983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316033</v>
      </c>
      <c r="C56" s="6">
        <v>54480</v>
      </c>
      <c r="D56" s="6">
        <v>53940</v>
      </c>
      <c r="E56" s="6">
        <v>540</v>
      </c>
    </row>
    <row r="57" spans="1:5" ht="15" x14ac:dyDescent="0.25">
      <c r="A57" s="5" t="s">
        <v>57</v>
      </c>
      <c r="B57" s="6">
        <v>169291</v>
      </c>
      <c r="C57" s="6">
        <v>57819</v>
      </c>
      <c r="D57" s="6">
        <v>0</v>
      </c>
      <c r="E57" s="6">
        <v>57819</v>
      </c>
    </row>
    <row r="58" spans="1:5" ht="15" x14ac:dyDescent="0.25">
      <c r="A58" s="5" t="s">
        <v>58</v>
      </c>
      <c r="B58" s="6">
        <v>31298</v>
      </c>
      <c r="C58" s="6">
        <v>14717</v>
      </c>
      <c r="D58" s="6" t="s">
        <v>8</v>
      </c>
      <c r="E58" s="6">
        <v>14717</v>
      </c>
    </row>
    <row r="59" spans="1:5" ht="15" x14ac:dyDescent="0.25">
      <c r="A59" s="5" t="s">
        <v>121</v>
      </c>
      <c r="B59" s="6">
        <v>1381055</v>
      </c>
      <c r="C59" s="6">
        <v>396623</v>
      </c>
      <c r="D59" s="6">
        <v>396623</v>
      </c>
      <c r="E59" s="6">
        <v>0</v>
      </c>
    </row>
    <row r="60" spans="1:5" ht="15" x14ac:dyDescent="0.25">
      <c r="A60" s="5" t="s">
        <v>60</v>
      </c>
      <c r="B60" s="6">
        <v>1757505</v>
      </c>
      <c r="C60" s="6">
        <v>575051</v>
      </c>
      <c r="D60" s="6">
        <v>560136</v>
      </c>
      <c r="E60" s="6">
        <v>14915</v>
      </c>
    </row>
    <row r="61" spans="1:5" ht="15" x14ac:dyDescent="0.25">
      <c r="A61" s="5" t="s">
        <v>61</v>
      </c>
      <c r="B61" s="6">
        <v>523766</v>
      </c>
      <c r="C61" s="6">
        <v>165063</v>
      </c>
      <c r="D61" s="6">
        <v>165063</v>
      </c>
      <c r="E61" s="6">
        <v>0</v>
      </c>
    </row>
    <row r="62" spans="1:5" ht="15" x14ac:dyDescent="0.25">
      <c r="A62" s="5" t="s">
        <v>62</v>
      </c>
      <c r="B62" s="6">
        <v>1222819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57280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76114580</v>
      </c>
      <c r="C64" s="8">
        <f>SUM(C8:C63)</f>
        <v>16122919</v>
      </c>
      <c r="D64" s="8">
        <f>SUM(D8:D63)</f>
        <v>12761433</v>
      </c>
      <c r="E64" s="8">
        <f>SUM(E8:E63)</f>
        <v>3361486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C14D-83BD-4028-8374-7ED1E9E0B73D}">
  <sheetPr>
    <pageSetUpPr fitToPage="1"/>
  </sheetPr>
  <dimension ref="A1:E89"/>
  <sheetViews>
    <sheetView workbookViewId="0">
      <pane ySplit="7" topLeftCell="A8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125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1073085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220423</v>
      </c>
      <c r="C9" s="6">
        <v>57233</v>
      </c>
      <c r="D9" s="6">
        <v>57229</v>
      </c>
      <c r="E9" s="6">
        <v>4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1944923</v>
      </c>
      <c r="C11" s="6">
        <v>464212</v>
      </c>
      <c r="D11" s="6">
        <v>113446</v>
      </c>
      <c r="E11" s="6">
        <v>350766</v>
      </c>
    </row>
    <row r="12" spans="1:5" ht="15" x14ac:dyDescent="0.25">
      <c r="A12" s="5" t="s">
        <v>12</v>
      </c>
      <c r="B12" s="6">
        <v>858323</v>
      </c>
      <c r="C12" s="6">
        <v>271421</v>
      </c>
      <c r="D12" s="6">
        <v>270530</v>
      </c>
      <c r="E12" s="6">
        <v>891</v>
      </c>
    </row>
    <row r="13" spans="1:5" ht="15" x14ac:dyDescent="0.25">
      <c r="A13" s="5" t="s">
        <v>122</v>
      </c>
      <c r="B13" s="6">
        <v>12468493</v>
      </c>
      <c r="C13" s="6">
        <v>3740386</v>
      </c>
      <c r="D13" s="6">
        <v>3714742</v>
      </c>
      <c r="E13" s="6">
        <v>25644</v>
      </c>
    </row>
    <row r="14" spans="1:5" ht="15" x14ac:dyDescent="0.25">
      <c r="A14" s="5" t="s">
        <v>14</v>
      </c>
      <c r="B14" s="6">
        <v>1259631</v>
      </c>
      <c r="C14" s="6">
        <v>405396</v>
      </c>
      <c r="D14" s="6">
        <v>397349</v>
      </c>
      <c r="E14" s="6">
        <v>8047</v>
      </c>
    </row>
    <row r="15" spans="1:5" ht="15" x14ac:dyDescent="0.25">
      <c r="A15" s="5" t="s">
        <v>15</v>
      </c>
      <c r="B15" s="6">
        <v>979151</v>
      </c>
      <c r="C15" s="6">
        <v>280041</v>
      </c>
      <c r="D15" s="6">
        <v>254233</v>
      </c>
      <c r="E15" s="6">
        <v>25808</v>
      </c>
    </row>
    <row r="16" spans="1:5" ht="15" x14ac:dyDescent="0.25">
      <c r="A16" s="5" t="s">
        <v>16</v>
      </c>
      <c r="B16" s="6">
        <v>220485</v>
      </c>
      <c r="C16" s="6">
        <v>65370</v>
      </c>
      <c r="D16" s="6">
        <v>9719</v>
      </c>
      <c r="E16" s="6">
        <v>55651</v>
      </c>
    </row>
    <row r="17" spans="1:5" ht="15" x14ac:dyDescent="0.25">
      <c r="A17" s="5" t="s">
        <v>17</v>
      </c>
      <c r="B17" s="6">
        <v>259796</v>
      </c>
      <c r="C17" s="6">
        <v>106136</v>
      </c>
      <c r="D17" s="6">
        <v>66064</v>
      </c>
      <c r="E17" s="6">
        <v>40072</v>
      </c>
    </row>
    <row r="18" spans="1:5" ht="15" x14ac:dyDescent="0.25">
      <c r="A18" s="5" t="s">
        <v>18</v>
      </c>
      <c r="B18" s="6">
        <v>4044252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2056580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34363</v>
      </c>
      <c r="C20" s="6">
        <v>4464</v>
      </c>
      <c r="D20" s="6" t="s">
        <v>8</v>
      </c>
      <c r="E20" s="6">
        <v>4464</v>
      </c>
    </row>
    <row r="21" spans="1:5" ht="15" x14ac:dyDescent="0.25">
      <c r="A21" s="5" t="s">
        <v>21</v>
      </c>
      <c r="B21" s="6">
        <v>323268</v>
      </c>
      <c r="C21" s="6">
        <v>119145</v>
      </c>
      <c r="D21" s="6">
        <v>19966</v>
      </c>
      <c r="E21" s="6">
        <v>99179</v>
      </c>
    </row>
    <row r="22" spans="1:5" ht="15" x14ac:dyDescent="0.25">
      <c r="A22" s="5" t="s">
        <v>22</v>
      </c>
      <c r="B22" s="6">
        <v>361917</v>
      </c>
      <c r="C22" s="6">
        <v>70488</v>
      </c>
      <c r="D22" s="6">
        <v>70488</v>
      </c>
      <c r="E22" s="6">
        <v>0</v>
      </c>
    </row>
    <row r="23" spans="1:5" ht="15" x14ac:dyDescent="0.25">
      <c r="A23" s="5" t="s">
        <v>23</v>
      </c>
      <c r="B23" s="6">
        <v>2739445</v>
      </c>
      <c r="C23" s="6">
        <v>731491</v>
      </c>
      <c r="D23" s="6">
        <v>625798</v>
      </c>
      <c r="E23" s="6">
        <v>105693</v>
      </c>
    </row>
    <row r="24" spans="1:5" ht="15" x14ac:dyDescent="0.25">
      <c r="A24" s="5" t="s">
        <v>24</v>
      </c>
      <c r="B24" s="6">
        <v>1453120</v>
      </c>
      <c r="C24" s="6">
        <v>370983</v>
      </c>
      <c r="D24" s="6">
        <v>370983</v>
      </c>
      <c r="E24" s="6">
        <v>0</v>
      </c>
    </row>
    <row r="25" spans="1:5" ht="15" x14ac:dyDescent="0.25">
      <c r="A25" s="5" t="s">
        <v>25</v>
      </c>
      <c r="B25" s="6">
        <v>621957</v>
      </c>
      <c r="C25" s="6">
        <v>185815</v>
      </c>
      <c r="D25" s="6">
        <v>166008</v>
      </c>
      <c r="E25" s="6">
        <v>19807</v>
      </c>
    </row>
    <row r="26" spans="1:5" ht="15" x14ac:dyDescent="0.25">
      <c r="A26" s="5" t="s">
        <v>26</v>
      </c>
      <c r="B26" s="6">
        <v>364759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1370771</v>
      </c>
      <c r="C27" s="6">
        <v>498105</v>
      </c>
      <c r="D27" s="6">
        <v>498105</v>
      </c>
      <c r="E27" s="6">
        <v>0</v>
      </c>
    </row>
    <row r="28" spans="1:5" ht="15" x14ac:dyDescent="0.25">
      <c r="A28" s="5" t="s">
        <v>28</v>
      </c>
      <c r="B28" s="6">
        <v>1680231</v>
      </c>
      <c r="C28" s="6">
        <v>519378</v>
      </c>
      <c r="D28" s="6">
        <v>519378</v>
      </c>
      <c r="E28" s="6">
        <v>0</v>
      </c>
    </row>
    <row r="29" spans="1:5" ht="15" x14ac:dyDescent="0.25">
      <c r="A29" s="5" t="s">
        <v>29</v>
      </c>
      <c r="B29" s="6">
        <v>301721</v>
      </c>
      <c r="C29" s="6">
        <v>56856</v>
      </c>
      <c r="D29" s="6">
        <v>44746</v>
      </c>
      <c r="E29" s="6">
        <v>12110</v>
      </c>
    </row>
    <row r="30" spans="1:5" ht="15" x14ac:dyDescent="0.25">
      <c r="A30" s="5" t="s">
        <v>30</v>
      </c>
      <c r="B30" s="6">
        <v>1287748</v>
      </c>
      <c r="C30" s="6">
        <v>328994</v>
      </c>
      <c r="D30" s="6">
        <v>328994</v>
      </c>
      <c r="E30" s="6">
        <v>0</v>
      </c>
    </row>
    <row r="31" spans="1:5" ht="15" x14ac:dyDescent="0.25">
      <c r="A31" s="5" t="s">
        <v>31</v>
      </c>
      <c r="B31" s="6">
        <v>1700706</v>
      </c>
      <c r="C31" s="6">
        <v>345470</v>
      </c>
      <c r="D31" s="6">
        <v>0</v>
      </c>
      <c r="E31" s="6">
        <v>345470</v>
      </c>
    </row>
    <row r="32" spans="1:5" ht="15" x14ac:dyDescent="0.25">
      <c r="A32" s="5" t="s">
        <v>32</v>
      </c>
      <c r="B32" s="6">
        <v>2506063</v>
      </c>
      <c r="C32" s="6">
        <v>721420</v>
      </c>
      <c r="D32" s="6">
        <v>672485</v>
      </c>
      <c r="E32" s="6">
        <v>48935</v>
      </c>
    </row>
    <row r="33" spans="1:5" ht="15" x14ac:dyDescent="0.25">
      <c r="A33" s="5" t="s">
        <v>33</v>
      </c>
      <c r="B33" s="6">
        <v>1093609</v>
      </c>
      <c r="C33" s="6">
        <v>201098</v>
      </c>
      <c r="D33" s="6">
        <v>200594</v>
      </c>
      <c r="E33" s="6">
        <v>504</v>
      </c>
    </row>
    <row r="34" spans="1:5" ht="15" x14ac:dyDescent="0.25">
      <c r="A34" s="5" t="s">
        <v>34</v>
      </c>
      <c r="B34" s="6">
        <v>689298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903605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242849</v>
      </c>
      <c r="C36" s="6">
        <v>90166</v>
      </c>
      <c r="D36" s="6">
        <v>90166</v>
      </c>
      <c r="E36" s="6">
        <v>0</v>
      </c>
    </row>
    <row r="37" spans="1:5" ht="15" x14ac:dyDescent="0.25">
      <c r="A37" s="5" t="s">
        <v>37</v>
      </c>
      <c r="B37" s="6">
        <v>15702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245102</v>
      </c>
      <c r="C38" s="6">
        <v>0</v>
      </c>
      <c r="D38" s="6">
        <v>0</v>
      </c>
      <c r="E38" s="6">
        <v>0</v>
      </c>
    </row>
    <row r="39" spans="1:5" ht="15" x14ac:dyDescent="0.25">
      <c r="A39" s="5" t="s">
        <v>39</v>
      </c>
      <c r="B39" s="6">
        <v>627716</v>
      </c>
      <c r="C39" s="6">
        <v>227050</v>
      </c>
      <c r="D39" s="6">
        <v>227050</v>
      </c>
      <c r="E39" s="6">
        <v>0</v>
      </c>
    </row>
    <row r="40" spans="1:5" ht="15" x14ac:dyDescent="0.25">
      <c r="A40" s="5" t="s">
        <v>40</v>
      </c>
      <c r="B40" s="6">
        <v>191327</v>
      </c>
      <c r="C40" s="6">
        <v>58376</v>
      </c>
      <c r="D40" s="6">
        <v>58081</v>
      </c>
      <c r="E40" s="6">
        <v>295</v>
      </c>
    </row>
    <row r="41" spans="1:5" ht="15" x14ac:dyDescent="0.25">
      <c r="A41" s="5" t="s">
        <v>41</v>
      </c>
      <c r="B41" s="6">
        <v>1641394</v>
      </c>
      <c r="C41" s="6">
        <v>558797</v>
      </c>
      <c r="D41" s="6">
        <v>558797</v>
      </c>
      <c r="E41" s="6">
        <v>0</v>
      </c>
    </row>
    <row r="42" spans="1:5" ht="15" x14ac:dyDescent="0.25">
      <c r="A42" s="5" t="s">
        <v>42</v>
      </c>
      <c r="B42" s="6">
        <v>856649</v>
      </c>
      <c r="C42" s="6">
        <v>273414</v>
      </c>
      <c r="D42" s="6">
        <v>273414</v>
      </c>
      <c r="E42" s="6">
        <v>0</v>
      </c>
    </row>
    <row r="43" spans="1:5" ht="15" x14ac:dyDescent="0.25">
      <c r="A43" s="5" t="s">
        <v>43</v>
      </c>
      <c r="B43" s="6">
        <v>6273086</v>
      </c>
      <c r="C43" s="6">
        <v>1989325</v>
      </c>
      <c r="D43" s="6">
        <v>337387</v>
      </c>
      <c r="E43" s="6">
        <v>1651938</v>
      </c>
    </row>
    <row r="44" spans="1:5" ht="15" x14ac:dyDescent="0.25">
      <c r="A44" s="5" t="s">
        <v>44</v>
      </c>
      <c r="B44" s="6">
        <v>2211323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94031</v>
      </c>
      <c r="C45" s="6">
        <v>21497</v>
      </c>
      <c r="D45" s="6">
        <v>20411</v>
      </c>
      <c r="E45" s="6">
        <v>1086</v>
      </c>
    </row>
    <row r="46" spans="1:5" ht="15" x14ac:dyDescent="0.25">
      <c r="A46" s="5" t="s">
        <v>46</v>
      </c>
      <c r="B46" s="6">
        <v>2891194</v>
      </c>
      <c r="C46" s="6">
        <v>566246</v>
      </c>
      <c r="D46" s="6">
        <v>565948</v>
      </c>
      <c r="E46" s="6">
        <v>298</v>
      </c>
    </row>
    <row r="47" spans="1:5" ht="15" x14ac:dyDescent="0.25">
      <c r="A47" s="5" t="s">
        <v>47</v>
      </c>
      <c r="B47" s="6">
        <v>687032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1023014</v>
      </c>
      <c r="C48" s="6">
        <v>508962</v>
      </c>
      <c r="D48" s="6">
        <v>418704</v>
      </c>
      <c r="E48" s="6">
        <v>90258</v>
      </c>
    </row>
    <row r="49" spans="1:5" ht="15" x14ac:dyDescent="0.25">
      <c r="A49" s="5" t="s">
        <v>49</v>
      </c>
      <c r="B49" s="6">
        <v>2932848</v>
      </c>
      <c r="C49" s="6">
        <v>819596</v>
      </c>
      <c r="D49" s="6">
        <v>777610</v>
      </c>
      <c r="E49" s="6">
        <v>41986</v>
      </c>
    </row>
    <row r="50" spans="1:5" ht="15" x14ac:dyDescent="0.25">
      <c r="A50" s="5" t="s">
        <v>50</v>
      </c>
      <c r="B50" s="6">
        <v>1162631</v>
      </c>
      <c r="C50" s="6">
        <v>411341</v>
      </c>
      <c r="D50" s="6" t="s">
        <v>8</v>
      </c>
      <c r="E50" s="6">
        <v>411341</v>
      </c>
    </row>
    <row r="51" spans="1:5" ht="15" x14ac:dyDescent="0.25">
      <c r="A51" s="5" t="s">
        <v>51</v>
      </c>
      <c r="B51" s="6">
        <v>298987</v>
      </c>
      <c r="C51" s="6">
        <v>70882</v>
      </c>
      <c r="D51" s="6">
        <v>70882</v>
      </c>
      <c r="E51" s="6">
        <v>0</v>
      </c>
    </row>
    <row r="52" spans="1:5" ht="15" x14ac:dyDescent="0.25">
      <c r="A52" s="5" t="s">
        <v>52</v>
      </c>
      <c r="B52" s="6">
        <v>1288568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105926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1588211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4371891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325271</v>
      </c>
      <c r="C56" s="6">
        <v>57731</v>
      </c>
      <c r="D56" s="6">
        <v>57147</v>
      </c>
      <c r="E56" s="6">
        <v>584</v>
      </c>
    </row>
    <row r="57" spans="1:5" ht="15" x14ac:dyDescent="0.25">
      <c r="A57" s="5" t="s">
        <v>57</v>
      </c>
      <c r="B57" s="6">
        <v>171014</v>
      </c>
      <c r="C57" s="6">
        <v>58872</v>
      </c>
      <c r="D57" s="6">
        <v>0</v>
      </c>
      <c r="E57" s="6">
        <v>58872</v>
      </c>
    </row>
    <row r="58" spans="1:5" ht="15" x14ac:dyDescent="0.25">
      <c r="A58" s="5" t="s">
        <v>58</v>
      </c>
      <c r="B58" s="6">
        <v>31485</v>
      </c>
      <c r="C58" s="6">
        <v>14874</v>
      </c>
      <c r="D58" s="6" t="s">
        <v>8</v>
      </c>
      <c r="E58" s="6">
        <v>14874</v>
      </c>
    </row>
    <row r="59" spans="1:5" ht="15" x14ac:dyDescent="0.25">
      <c r="A59" s="5" t="s">
        <v>121</v>
      </c>
      <c r="B59" s="6">
        <v>1430388</v>
      </c>
      <c r="C59" s="6">
        <v>416491</v>
      </c>
      <c r="D59" s="6">
        <v>416491</v>
      </c>
      <c r="E59" s="6">
        <v>0</v>
      </c>
    </row>
    <row r="60" spans="1:5" ht="15" x14ac:dyDescent="0.25">
      <c r="A60" s="5" t="s">
        <v>60</v>
      </c>
      <c r="B60" s="6">
        <v>1775512</v>
      </c>
      <c r="C60" s="6">
        <v>585985</v>
      </c>
      <c r="D60" s="6">
        <v>570703</v>
      </c>
      <c r="E60" s="6">
        <v>15282</v>
      </c>
    </row>
    <row r="61" spans="1:5" ht="15" x14ac:dyDescent="0.25">
      <c r="A61" s="5" t="s">
        <v>61</v>
      </c>
      <c r="B61" s="6">
        <v>529406</v>
      </c>
      <c r="C61" s="6">
        <v>166625</v>
      </c>
      <c r="D61" s="6">
        <v>166625</v>
      </c>
      <c r="E61" s="6">
        <v>0</v>
      </c>
    </row>
    <row r="62" spans="1:5" ht="15" x14ac:dyDescent="0.25">
      <c r="A62" s="5" t="s">
        <v>62</v>
      </c>
      <c r="B62" s="6">
        <v>1246555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58110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77169947</v>
      </c>
      <c r="C64" s="8">
        <f>SUM(C8:C63)</f>
        <v>16440132</v>
      </c>
      <c r="D64" s="8">
        <f>SUM(D8:D63)</f>
        <v>13010273</v>
      </c>
      <c r="E64" s="8">
        <f>SUM(E8:E63)</f>
        <v>3429859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1FA1-49EC-402F-B923-AFA44707FCCB}">
  <sheetPr>
    <pageSetUpPr fitToPage="1"/>
  </sheetPr>
  <dimension ref="A1:E89"/>
  <sheetViews>
    <sheetView workbookViewId="0">
      <pane ySplit="7" topLeftCell="A53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126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1082699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221897</v>
      </c>
      <c r="C9" s="6">
        <v>58593</v>
      </c>
      <c r="D9" s="6">
        <v>58589</v>
      </c>
      <c r="E9" s="6">
        <v>4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1977681</v>
      </c>
      <c r="C11" s="6">
        <v>479095</v>
      </c>
      <c r="D11" s="6">
        <v>125699</v>
      </c>
      <c r="E11" s="6">
        <v>353396</v>
      </c>
    </row>
    <row r="12" spans="1:5" ht="15" x14ac:dyDescent="0.25">
      <c r="A12" s="5" t="s">
        <v>12</v>
      </c>
      <c r="B12" s="6">
        <v>869325</v>
      </c>
      <c r="C12" s="6">
        <v>277058</v>
      </c>
      <c r="D12" s="6">
        <v>276167</v>
      </c>
      <c r="E12" s="6">
        <v>891</v>
      </c>
    </row>
    <row r="13" spans="1:5" ht="15" x14ac:dyDescent="0.25">
      <c r="A13" s="5" t="s">
        <v>122</v>
      </c>
      <c r="B13" s="6">
        <v>12496095</v>
      </c>
      <c r="C13" s="6">
        <v>3763540</v>
      </c>
      <c r="D13" s="6">
        <v>3737423</v>
      </c>
      <c r="E13" s="6">
        <v>26117</v>
      </c>
    </row>
    <row r="14" spans="1:5" ht="15" x14ac:dyDescent="0.25">
      <c r="A14" s="5" t="s">
        <v>14</v>
      </c>
      <c r="B14" s="6">
        <v>1282749</v>
      </c>
      <c r="C14" s="6">
        <v>418599</v>
      </c>
      <c r="D14" s="6">
        <v>410636</v>
      </c>
      <c r="E14" s="6">
        <v>7963</v>
      </c>
    </row>
    <row r="15" spans="1:5" ht="15" x14ac:dyDescent="0.25">
      <c r="A15" s="5" t="s">
        <v>15</v>
      </c>
      <c r="B15" s="6">
        <v>984812</v>
      </c>
      <c r="C15" s="6">
        <v>282690</v>
      </c>
      <c r="D15" s="6">
        <v>257036</v>
      </c>
      <c r="E15" s="6">
        <v>25654</v>
      </c>
    </row>
    <row r="16" spans="1:5" ht="15" x14ac:dyDescent="0.25">
      <c r="A16" s="5" t="s">
        <v>16</v>
      </c>
      <c r="B16" s="6">
        <v>224059</v>
      </c>
      <c r="C16" s="6">
        <v>66483</v>
      </c>
      <c r="D16" s="6">
        <v>9816</v>
      </c>
      <c r="E16" s="6">
        <v>56667</v>
      </c>
    </row>
    <row r="17" spans="1:5" ht="15" x14ac:dyDescent="0.25">
      <c r="A17" s="5" t="s">
        <v>17</v>
      </c>
      <c r="B17" s="6">
        <v>262069</v>
      </c>
      <c r="C17" s="6">
        <v>107562</v>
      </c>
      <c r="D17" s="6">
        <v>67112</v>
      </c>
      <c r="E17" s="6">
        <v>40450</v>
      </c>
    </row>
    <row r="18" spans="1:5" ht="15" x14ac:dyDescent="0.25">
      <c r="A18" s="5" t="s">
        <v>18</v>
      </c>
      <c r="B18" s="6">
        <v>4109278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2076053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33256</v>
      </c>
      <c r="C20" s="6">
        <v>4416</v>
      </c>
      <c r="D20" s="6" t="s">
        <v>8</v>
      </c>
      <c r="E20" s="6">
        <v>4416</v>
      </c>
    </row>
    <row r="21" spans="1:5" ht="15" x14ac:dyDescent="0.25">
      <c r="A21" s="5" t="s">
        <v>21</v>
      </c>
      <c r="B21" s="6">
        <v>322872</v>
      </c>
      <c r="C21" s="6">
        <v>119311</v>
      </c>
      <c r="D21" s="6">
        <v>20005</v>
      </c>
      <c r="E21" s="6">
        <v>99306</v>
      </c>
    </row>
    <row r="22" spans="1:5" ht="15" x14ac:dyDescent="0.25">
      <c r="A22" s="5" t="s">
        <v>22</v>
      </c>
      <c r="B22" s="6">
        <v>366300</v>
      </c>
      <c r="C22" s="6">
        <v>73231</v>
      </c>
      <c r="D22" s="6">
        <v>73231</v>
      </c>
      <c r="E22" s="6">
        <v>0</v>
      </c>
    </row>
    <row r="23" spans="1:5" ht="15" x14ac:dyDescent="0.25">
      <c r="A23" s="5" t="s">
        <v>23</v>
      </c>
      <c r="B23" s="6">
        <v>2761797</v>
      </c>
      <c r="C23" s="6">
        <v>744645</v>
      </c>
      <c r="D23" s="6">
        <v>639116</v>
      </c>
      <c r="E23" s="6">
        <v>105529</v>
      </c>
    </row>
    <row r="24" spans="1:5" ht="15" x14ac:dyDescent="0.25">
      <c r="A24" s="5" t="s">
        <v>24</v>
      </c>
      <c r="B24" s="6">
        <v>1475181</v>
      </c>
      <c r="C24" s="6">
        <v>381111</v>
      </c>
      <c r="D24" s="6">
        <v>381111</v>
      </c>
      <c r="E24" s="6">
        <v>0</v>
      </c>
    </row>
    <row r="25" spans="1:5" ht="15" x14ac:dyDescent="0.25">
      <c r="A25" s="5" t="s">
        <v>25</v>
      </c>
      <c r="B25" s="6">
        <v>631614</v>
      </c>
      <c r="C25" s="6">
        <v>189005</v>
      </c>
      <c r="D25" s="6">
        <v>166558</v>
      </c>
      <c r="E25" s="6">
        <v>22447</v>
      </c>
    </row>
    <row r="26" spans="1:5" ht="15" x14ac:dyDescent="0.25">
      <c r="A26" s="5" t="s">
        <v>26</v>
      </c>
      <c r="B26" s="6">
        <v>369807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1417316</v>
      </c>
      <c r="C27" s="6">
        <v>534881</v>
      </c>
      <c r="D27" s="6">
        <v>534881</v>
      </c>
      <c r="E27" s="6">
        <v>0</v>
      </c>
    </row>
    <row r="28" spans="1:5" ht="15" x14ac:dyDescent="0.25">
      <c r="A28" s="5" t="s">
        <v>28</v>
      </c>
      <c r="B28" s="6">
        <v>1698669</v>
      </c>
      <c r="C28" s="6">
        <v>527673</v>
      </c>
      <c r="D28" s="6">
        <v>527673</v>
      </c>
      <c r="E28" s="6">
        <v>0</v>
      </c>
    </row>
    <row r="29" spans="1:5" ht="15" x14ac:dyDescent="0.25">
      <c r="A29" s="5" t="s">
        <v>29</v>
      </c>
      <c r="B29" s="6">
        <v>306263</v>
      </c>
      <c r="C29" s="6">
        <v>58734</v>
      </c>
      <c r="D29" s="6">
        <v>46478</v>
      </c>
      <c r="E29" s="6">
        <v>12256</v>
      </c>
    </row>
    <row r="30" spans="1:5" ht="15" x14ac:dyDescent="0.25">
      <c r="A30" s="5" t="s">
        <v>30</v>
      </c>
      <c r="B30" s="6">
        <v>1300946</v>
      </c>
      <c r="C30" s="6">
        <v>334228</v>
      </c>
      <c r="D30" s="6">
        <v>334228</v>
      </c>
      <c r="E30" s="6">
        <v>0</v>
      </c>
    </row>
    <row r="31" spans="1:5" ht="15" x14ac:dyDescent="0.25">
      <c r="A31" s="5" t="s">
        <v>31</v>
      </c>
      <c r="B31" s="6">
        <v>1707937</v>
      </c>
      <c r="C31" s="6">
        <v>347371</v>
      </c>
      <c r="D31" s="6">
        <v>0</v>
      </c>
      <c r="E31" s="6">
        <v>347371</v>
      </c>
    </row>
    <row r="32" spans="1:5" ht="15" x14ac:dyDescent="0.25">
      <c r="A32" s="5" t="s">
        <v>32</v>
      </c>
      <c r="B32" s="6">
        <v>2534597</v>
      </c>
      <c r="C32" s="6">
        <v>751687</v>
      </c>
      <c r="D32" s="6">
        <v>704359</v>
      </c>
      <c r="E32" s="6">
        <v>47328</v>
      </c>
    </row>
    <row r="33" spans="1:5" ht="15" x14ac:dyDescent="0.25">
      <c r="A33" s="5" t="s">
        <v>33</v>
      </c>
      <c r="B33" s="6">
        <v>1098085</v>
      </c>
      <c r="C33" s="6">
        <v>203617</v>
      </c>
      <c r="D33" s="6">
        <v>202953</v>
      </c>
      <c r="E33" s="6">
        <v>664</v>
      </c>
    </row>
    <row r="34" spans="1:5" ht="15" x14ac:dyDescent="0.25">
      <c r="A34" s="5" t="s">
        <v>34</v>
      </c>
      <c r="B34" s="6">
        <v>697178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920287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245643</v>
      </c>
      <c r="C36" s="6">
        <v>91425</v>
      </c>
      <c r="D36" s="6">
        <v>91425</v>
      </c>
      <c r="E36" s="6">
        <v>0</v>
      </c>
    </row>
    <row r="37" spans="1:5" ht="15" x14ac:dyDescent="0.25">
      <c r="A37" s="5" t="s">
        <v>37</v>
      </c>
      <c r="B37" s="6">
        <v>16241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248273</v>
      </c>
      <c r="C38" s="6">
        <v>0</v>
      </c>
      <c r="D38" s="6">
        <v>0</v>
      </c>
      <c r="E38" s="6">
        <v>0</v>
      </c>
    </row>
    <row r="39" spans="1:5" ht="15" x14ac:dyDescent="0.25">
      <c r="A39" s="5" t="s">
        <v>39</v>
      </c>
      <c r="B39" s="6">
        <v>644373</v>
      </c>
      <c r="C39" s="6">
        <v>235160</v>
      </c>
      <c r="D39" s="6">
        <v>235160</v>
      </c>
      <c r="E39" s="6">
        <v>0</v>
      </c>
    </row>
    <row r="40" spans="1:5" ht="15" x14ac:dyDescent="0.25">
      <c r="A40" s="5" t="s">
        <v>40</v>
      </c>
      <c r="B40" s="6">
        <v>193532</v>
      </c>
      <c r="C40" s="6">
        <v>59562</v>
      </c>
      <c r="D40" s="6">
        <v>59263</v>
      </c>
      <c r="E40" s="6">
        <v>299</v>
      </c>
    </row>
    <row r="41" spans="1:5" ht="15" x14ac:dyDescent="0.25">
      <c r="A41" s="5" t="s">
        <v>41</v>
      </c>
      <c r="B41" s="6">
        <v>1664309</v>
      </c>
      <c r="C41" s="6">
        <v>570088</v>
      </c>
      <c r="D41" s="6">
        <v>570088</v>
      </c>
      <c r="E41" s="6">
        <v>0</v>
      </c>
    </row>
    <row r="42" spans="1:5" ht="15" x14ac:dyDescent="0.25">
      <c r="A42" s="5" t="s">
        <v>42</v>
      </c>
      <c r="B42" s="6">
        <v>862131</v>
      </c>
      <c r="C42" s="6">
        <v>274430</v>
      </c>
      <c r="D42" s="6">
        <v>274430</v>
      </c>
      <c r="E42" s="6">
        <v>0</v>
      </c>
    </row>
    <row r="43" spans="1:5" ht="15" x14ac:dyDescent="0.25">
      <c r="A43" s="5" t="s">
        <v>43</v>
      </c>
      <c r="B43" s="6">
        <v>6358951</v>
      </c>
      <c r="C43" s="6">
        <v>2031049</v>
      </c>
      <c r="D43" s="6">
        <v>346732</v>
      </c>
      <c r="E43" s="6">
        <v>1684317</v>
      </c>
    </row>
    <row r="44" spans="1:5" ht="15" x14ac:dyDescent="0.25">
      <c r="A44" s="5" t="s">
        <v>44</v>
      </c>
      <c r="B44" s="6">
        <v>2236255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94761</v>
      </c>
      <c r="C45" s="6">
        <v>21528</v>
      </c>
      <c r="D45" s="6">
        <v>20429</v>
      </c>
      <c r="E45" s="6">
        <v>1099</v>
      </c>
    </row>
    <row r="46" spans="1:5" ht="15" x14ac:dyDescent="0.25">
      <c r="A46" s="5" t="s">
        <v>46</v>
      </c>
      <c r="B46" s="6">
        <v>2906252</v>
      </c>
      <c r="C46" s="6">
        <v>562256</v>
      </c>
      <c r="D46" s="6">
        <v>561960</v>
      </c>
      <c r="E46" s="6">
        <v>296</v>
      </c>
    </row>
    <row r="47" spans="1:5" ht="15" x14ac:dyDescent="0.25">
      <c r="A47" s="5" t="s">
        <v>47</v>
      </c>
      <c r="B47" s="6">
        <v>726619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1033756</v>
      </c>
      <c r="C48" s="6">
        <v>519499</v>
      </c>
      <c r="D48" s="6">
        <v>428918</v>
      </c>
      <c r="E48" s="6">
        <v>90581</v>
      </c>
    </row>
    <row r="49" spans="1:5" ht="15" x14ac:dyDescent="0.25">
      <c r="A49" s="5" t="s">
        <v>49</v>
      </c>
      <c r="B49" s="6">
        <v>2970037</v>
      </c>
      <c r="C49" s="6">
        <v>843748</v>
      </c>
      <c r="D49" s="6">
        <v>800276</v>
      </c>
      <c r="E49" s="6">
        <v>43472</v>
      </c>
    </row>
    <row r="50" spans="1:5" ht="15" x14ac:dyDescent="0.25">
      <c r="A50" s="5" t="s">
        <v>50</v>
      </c>
      <c r="B50" s="6">
        <v>1174184</v>
      </c>
      <c r="C50" s="6">
        <v>418358</v>
      </c>
      <c r="D50" s="6" t="s">
        <v>8</v>
      </c>
      <c r="E50" s="6">
        <v>418358</v>
      </c>
    </row>
    <row r="51" spans="1:5" ht="15" x14ac:dyDescent="0.25">
      <c r="A51" s="5" t="s">
        <v>51</v>
      </c>
      <c r="B51" s="6">
        <v>302210</v>
      </c>
      <c r="C51" s="6">
        <v>72301</v>
      </c>
      <c r="D51" s="6">
        <v>72301</v>
      </c>
      <c r="E51" s="6">
        <v>0</v>
      </c>
    </row>
    <row r="52" spans="1:5" ht="15" x14ac:dyDescent="0.25">
      <c r="A52" s="5" t="s">
        <v>52</v>
      </c>
      <c r="B52" s="6">
        <v>1300405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107674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1599722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4449590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335820</v>
      </c>
      <c r="C56" s="6">
        <v>61155</v>
      </c>
      <c r="D56" s="6">
        <v>60550</v>
      </c>
      <c r="E56" s="6">
        <v>605</v>
      </c>
    </row>
    <row r="57" spans="1:5" ht="15" x14ac:dyDescent="0.25">
      <c r="A57" s="5" t="s">
        <v>57</v>
      </c>
      <c r="B57" s="6">
        <v>172951</v>
      </c>
      <c r="C57" s="6">
        <v>60071</v>
      </c>
      <c r="D57" s="6">
        <v>0</v>
      </c>
      <c r="E57" s="6">
        <v>60071</v>
      </c>
    </row>
    <row r="58" spans="1:5" ht="15" x14ac:dyDescent="0.25">
      <c r="A58" s="5" t="s">
        <v>58</v>
      </c>
      <c r="B58" s="6">
        <v>31682</v>
      </c>
      <c r="C58" s="6">
        <v>15024</v>
      </c>
      <c r="D58" s="6" t="s">
        <v>8</v>
      </c>
      <c r="E58" s="6">
        <v>15024</v>
      </c>
    </row>
    <row r="59" spans="1:5" ht="15" x14ac:dyDescent="0.25">
      <c r="A59" s="5" t="s">
        <v>121</v>
      </c>
      <c r="B59" s="6">
        <v>1457772</v>
      </c>
      <c r="C59" s="6">
        <v>426100</v>
      </c>
      <c r="D59" s="6">
        <v>426100</v>
      </c>
      <c r="E59" s="6">
        <v>0</v>
      </c>
    </row>
    <row r="60" spans="1:5" ht="15" x14ac:dyDescent="0.25">
      <c r="A60" s="5" t="s">
        <v>60</v>
      </c>
      <c r="B60" s="6">
        <v>1795931</v>
      </c>
      <c r="C60" s="6">
        <v>599716</v>
      </c>
      <c r="D60" s="6">
        <v>584238</v>
      </c>
      <c r="E60" s="6">
        <v>15478</v>
      </c>
    </row>
    <row r="61" spans="1:5" ht="15" x14ac:dyDescent="0.25">
      <c r="A61" s="5" t="s">
        <v>61</v>
      </c>
      <c r="B61" s="6">
        <v>535649</v>
      </c>
      <c r="C61" s="6">
        <v>170755</v>
      </c>
      <c r="D61" s="6">
        <v>170755</v>
      </c>
      <c r="E61" s="6">
        <v>0</v>
      </c>
    </row>
    <row r="62" spans="1:5" ht="15" x14ac:dyDescent="0.25">
      <c r="A62" s="5" t="s">
        <v>62</v>
      </c>
      <c r="B62" s="6">
        <v>1267446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59487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78055480</v>
      </c>
      <c r="C64" s="8">
        <f>SUM(C8:C63)</f>
        <v>16755755</v>
      </c>
      <c r="D64" s="8">
        <f>SUM(D8:D63)</f>
        <v>13275696</v>
      </c>
      <c r="E64" s="8">
        <f>SUM(E8:E63)</f>
        <v>3480059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72B7-9D71-40FA-A53D-83ED002F4DA0}">
  <sheetPr>
    <pageSetUpPr fitToPage="1"/>
  </sheetPr>
  <dimension ref="A1:E91"/>
  <sheetViews>
    <sheetView workbookViewId="0">
      <pane ySplit="7" topLeftCell="A46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128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1092935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222723</v>
      </c>
      <c r="C9" s="6">
        <v>59969</v>
      </c>
      <c r="D9" s="6">
        <v>59969</v>
      </c>
      <c r="E9" s="6">
        <v>0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1998408</v>
      </c>
      <c r="C11" s="6">
        <v>490625</v>
      </c>
      <c r="D11" s="6">
        <v>131048</v>
      </c>
      <c r="E11" s="6">
        <v>359577</v>
      </c>
    </row>
    <row r="12" spans="1:5" ht="15" x14ac:dyDescent="0.25">
      <c r="A12" s="5" t="s">
        <v>12</v>
      </c>
      <c r="B12" s="6">
        <v>874330</v>
      </c>
      <c r="C12" s="6">
        <v>281208</v>
      </c>
      <c r="D12" s="6">
        <v>280309</v>
      </c>
      <c r="E12" s="6">
        <v>899</v>
      </c>
    </row>
    <row r="13" spans="1:5" ht="15" x14ac:dyDescent="0.25">
      <c r="A13" s="5" t="s">
        <v>122</v>
      </c>
      <c r="B13" s="6">
        <v>12787466</v>
      </c>
      <c r="C13" s="6">
        <v>3879011</v>
      </c>
      <c r="D13" s="6">
        <v>3851971</v>
      </c>
      <c r="E13" s="6">
        <v>27040</v>
      </c>
    </row>
    <row r="14" spans="1:5" ht="15" x14ac:dyDescent="0.25">
      <c r="A14" s="5" t="s">
        <v>14</v>
      </c>
      <c r="B14" s="6">
        <v>1303164</v>
      </c>
      <c r="C14" s="6">
        <v>431837</v>
      </c>
      <c r="D14" s="6">
        <v>423297</v>
      </c>
      <c r="E14" s="6">
        <v>8540</v>
      </c>
    </row>
    <row r="15" spans="1:5" ht="15" x14ac:dyDescent="0.25">
      <c r="A15" s="5" t="s">
        <v>15</v>
      </c>
      <c r="B15" s="6">
        <v>990928</v>
      </c>
      <c r="C15" s="6">
        <v>286877</v>
      </c>
      <c r="D15" s="6">
        <v>260446</v>
      </c>
      <c r="E15" s="6">
        <v>26431</v>
      </c>
    </row>
    <row r="16" spans="1:5" ht="15" x14ac:dyDescent="0.25">
      <c r="A16" s="5" t="s">
        <v>16</v>
      </c>
      <c r="B16" s="6">
        <v>226905</v>
      </c>
      <c r="C16" s="6">
        <v>67491</v>
      </c>
      <c r="D16" s="6">
        <v>10040</v>
      </c>
      <c r="E16" s="6">
        <v>57451</v>
      </c>
    </row>
    <row r="17" spans="1:5" ht="15" x14ac:dyDescent="0.25">
      <c r="A17" s="5" t="s">
        <v>17</v>
      </c>
      <c r="B17" s="6">
        <v>264260</v>
      </c>
      <c r="C17" s="6">
        <v>108953</v>
      </c>
      <c r="D17" s="6">
        <v>68150</v>
      </c>
      <c r="E17" s="6">
        <v>40803</v>
      </c>
    </row>
    <row r="18" spans="1:5" ht="15" x14ac:dyDescent="0.25">
      <c r="A18" s="5" t="s">
        <v>18</v>
      </c>
      <c r="B18" s="6">
        <v>4203096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2101870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33794</v>
      </c>
      <c r="C20" s="6">
        <v>4587</v>
      </c>
      <c r="D20" s="6" t="s">
        <v>8</v>
      </c>
      <c r="E20" s="6">
        <v>4587</v>
      </c>
    </row>
    <row r="21" spans="1:5" ht="15" x14ac:dyDescent="0.25">
      <c r="A21" s="5" t="s">
        <v>21</v>
      </c>
      <c r="B21" s="6">
        <v>338124</v>
      </c>
      <c r="C21" s="6">
        <v>127294</v>
      </c>
      <c r="D21" s="6">
        <v>21662</v>
      </c>
      <c r="E21" s="6">
        <v>105632</v>
      </c>
    </row>
    <row r="22" spans="1:5" ht="15" x14ac:dyDescent="0.25">
      <c r="A22" s="5" t="s">
        <v>22</v>
      </c>
      <c r="B22" s="6">
        <v>374214</v>
      </c>
      <c r="C22" s="6">
        <v>77026</v>
      </c>
      <c r="D22" s="6">
        <v>77026</v>
      </c>
      <c r="E22" s="6">
        <v>0</v>
      </c>
    </row>
    <row r="23" spans="1:5" ht="15" x14ac:dyDescent="0.25">
      <c r="A23" s="5" t="s">
        <v>23</v>
      </c>
      <c r="B23" s="6">
        <v>2790009</v>
      </c>
      <c r="C23" s="6">
        <v>755759</v>
      </c>
      <c r="D23" s="6">
        <v>650439</v>
      </c>
      <c r="E23" s="6">
        <v>105320</v>
      </c>
    </row>
    <row r="24" spans="1:5" ht="15" x14ac:dyDescent="0.25">
      <c r="A24" s="5" t="s">
        <v>24</v>
      </c>
      <c r="B24" s="6">
        <v>1538180</v>
      </c>
      <c r="C24" s="6">
        <v>393272</v>
      </c>
      <c r="D24" s="6">
        <v>393272</v>
      </c>
      <c r="E24" s="6">
        <v>0</v>
      </c>
    </row>
    <row r="25" spans="1:5" ht="15" x14ac:dyDescent="0.25">
      <c r="A25" s="5" t="s">
        <v>25</v>
      </c>
      <c r="B25" s="6">
        <v>639783</v>
      </c>
      <c r="C25" s="6">
        <v>191260</v>
      </c>
      <c r="D25" s="6">
        <v>165564</v>
      </c>
      <c r="E25" s="6">
        <v>25696</v>
      </c>
    </row>
    <row r="26" spans="1:5" ht="15" x14ac:dyDescent="0.25">
      <c r="A26" s="5" t="s">
        <v>26</v>
      </c>
      <c r="B26" s="6">
        <v>374777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1458133</v>
      </c>
      <c r="C27" s="6">
        <v>566795</v>
      </c>
      <c r="D27" s="6">
        <v>566795</v>
      </c>
      <c r="E27" s="6">
        <v>0</v>
      </c>
    </row>
    <row r="28" spans="1:5" ht="15" x14ac:dyDescent="0.25">
      <c r="A28" s="5" t="s">
        <v>28</v>
      </c>
      <c r="B28" s="6">
        <v>1730359</v>
      </c>
      <c r="C28" s="6">
        <v>542855</v>
      </c>
      <c r="D28" s="6">
        <v>542855</v>
      </c>
      <c r="E28" s="6">
        <v>0</v>
      </c>
    </row>
    <row r="29" spans="1:5" ht="15" x14ac:dyDescent="0.25">
      <c r="A29" s="5" t="s">
        <v>29</v>
      </c>
      <c r="B29" s="6">
        <v>310848</v>
      </c>
      <c r="C29" s="6">
        <v>61221</v>
      </c>
      <c r="D29" s="6">
        <v>48349</v>
      </c>
      <c r="E29" s="6">
        <v>12872</v>
      </c>
    </row>
    <row r="30" spans="1:5" ht="15" x14ac:dyDescent="0.25">
      <c r="A30" s="5" t="s">
        <v>30</v>
      </c>
      <c r="B30" s="6">
        <v>1315348</v>
      </c>
      <c r="C30" s="6">
        <v>338840</v>
      </c>
      <c r="D30" s="6">
        <v>338840</v>
      </c>
      <c r="E30" s="6">
        <v>0</v>
      </c>
    </row>
    <row r="31" spans="1:5" ht="15" x14ac:dyDescent="0.25">
      <c r="A31" s="5" t="s">
        <v>31</v>
      </c>
      <c r="B31" s="6">
        <v>1728064</v>
      </c>
      <c r="C31" s="6">
        <v>356034</v>
      </c>
      <c r="D31" s="6">
        <v>0</v>
      </c>
      <c r="E31" s="6">
        <v>356034</v>
      </c>
    </row>
    <row r="32" spans="1:5" ht="15" x14ac:dyDescent="0.25">
      <c r="A32" s="5" t="s">
        <v>32</v>
      </c>
      <c r="B32" s="6">
        <v>2568093</v>
      </c>
      <c r="C32" s="6">
        <v>768019</v>
      </c>
      <c r="D32" s="6">
        <v>720329</v>
      </c>
      <c r="E32" s="6">
        <v>47690</v>
      </c>
    </row>
    <row r="33" spans="1:5" ht="15" x14ac:dyDescent="0.25">
      <c r="A33" s="5" t="s">
        <v>33</v>
      </c>
      <c r="B33" s="6">
        <v>1126008</v>
      </c>
      <c r="C33" s="6">
        <v>211102</v>
      </c>
      <c r="D33" s="6">
        <v>210376</v>
      </c>
      <c r="E33" s="6">
        <v>726</v>
      </c>
    </row>
    <row r="34" spans="1:5" ht="15" x14ac:dyDescent="0.25">
      <c r="A34" s="5" t="s">
        <v>34</v>
      </c>
      <c r="B34" s="6">
        <v>704743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937867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248356</v>
      </c>
      <c r="C36" s="6">
        <v>92652</v>
      </c>
      <c r="D36" s="6">
        <v>92652</v>
      </c>
      <c r="E36" s="6">
        <v>0</v>
      </c>
    </row>
    <row r="37" spans="1:5" ht="15" x14ac:dyDescent="0.25">
      <c r="A37" s="5" t="s">
        <v>37</v>
      </c>
      <c r="B37" s="6">
        <v>16654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252566</v>
      </c>
      <c r="C38" s="6">
        <v>0</v>
      </c>
      <c r="D38" s="6">
        <v>0</v>
      </c>
      <c r="E38" s="6">
        <v>0</v>
      </c>
    </row>
    <row r="39" spans="1:5" ht="15" x14ac:dyDescent="0.25">
      <c r="A39" s="5" t="s">
        <v>39</v>
      </c>
      <c r="B39" s="6">
        <v>657174</v>
      </c>
      <c r="C39" s="6">
        <v>242233</v>
      </c>
      <c r="D39" s="6">
        <v>242233</v>
      </c>
      <c r="E39" s="6">
        <v>0</v>
      </c>
    </row>
    <row r="40" spans="1:5" ht="15" x14ac:dyDescent="0.25">
      <c r="A40" s="5" t="s">
        <v>40</v>
      </c>
      <c r="B40" s="6">
        <v>195868</v>
      </c>
      <c r="C40" s="6">
        <v>60763</v>
      </c>
      <c r="D40" s="6">
        <v>60448</v>
      </c>
      <c r="E40" s="6">
        <v>315</v>
      </c>
    </row>
    <row r="41" spans="1:5" ht="15" x14ac:dyDescent="0.25">
      <c r="A41" s="5" t="s">
        <v>41</v>
      </c>
      <c r="B41" s="6">
        <v>1687587</v>
      </c>
      <c r="C41" s="6">
        <v>580807</v>
      </c>
      <c r="D41" s="6">
        <v>580807</v>
      </c>
      <c r="E41" s="6">
        <v>0</v>
      </c>
    </row>
    <row r="42" spans="1:5" ht="15" x14ac:dyDescent="0.25">
      <c r="A42" s="5" t="s">
        <v>42</v>
      </c>
      <c r="B42" s="6">
        <v>873305</v>
      </c>
      <c r="C42" s="6">
        <v>277179</v>
      </c>
      <c r="D42" s="6">
        <v>277179</v>
      </c>
      <c r="E42" s="6">
        <v>0</v>
      </c>
    </row>
    <row r="43" spans="1:5" ht="15" x14ac:dyDescent="0.25">
      <c r="A43" s="5" t="s">
        <v>43</v>
      </c>
      <c r="B43" s="6">
        <v>6442782</v>
      </c>
      <c r="C43" s="6">
        <v>2070518</v>
      </c>
      <c r="D43" s="6">
        <v>355730</v>
      </c>
      <c r="E43" s="6">
        <v>1714788</v>
      </c>
    </row>
    <row r="44" spans="1:5" ht="15" x14ac:dyDescent="0.25">
      <c r="A44" s="5" t="s">
        <v>44</v>
      </c>
      <c r="B44" s="6">
        <v>2263676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99152</v>
      </c>
      <c r="C45" s="6">
        <v>22101</v>
      </c>
      <c r="D45" s="6">
        <v>20956</v>
      </c>
      <c r="E45" s="6">
        <v>1145</v>
      </c>
    </row>
    <row r="46" spans="1:5" ht="15" x14ac:dyDescent="0.25">
      <c r="A46" s="5" t="s">
        <v>46</v>
      </c>
      <c r="B46" s="6">
        <v>2926487</v>
      </c>
      <c r="C46" s="6">
        <v>561696</v>
      </c>
      <c r="D46" s="6">
        <v>561404</v>
      </c>
      <c r="E46" s="6">
        <v>292</v>
      </c>
    </row>
    <row r="47" spans="1:5" ht="15" x14ac:dyDescent="0.25">
      <c r="A47" s="5" t="s">
        <v>47</v>
      </c>
      <c r="B47" s="6">
        <v>737924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1050416</v>
      </c>
      <c r="C48" s="6">
        <v>530755</v>
      </c>
      <c r="D48" s="6">
        <v>439595</v>
      </c>
      <c r="E48" s="6">
        <v>91160</v>
      </c>
    </row>
    <row r="49" spans="1:5" ht="15" x14ac:dyDescent="0.25">
      <c r="A49" s="5" t="s">
        <v>49</v>
      </c>
      <c r="B49" s="6">
        <v>3002453</v>
      </c>
      <c r="C49" s="6">
        <v>864967</v>
      </c>
      <c r="D49" s="6">
        <v>820411</v>
      </c>
      <c r="E49" s="6">
        <v>44556</v>
      </c>
    </row>
    <row r="50" spans="1:5" ht="15" x14ac:dyDescent="0.25">
      <c r="A50" s="5" t="s">
        <v>50</v>
      </c>
      <c r="B50" s="6">
        <v>1182169</v>
      </c>
      <c r="C50" s="6">
        <v>422789</v>
      </c>
      <c r="D50" s="6" t="s">
        <v>8</v>
      </c>
      <c r="E50" s="6">
        <v>422789</v>
      </c>
    </row>
    <row r="51" spans="1:5" ht="15" x14ac:dyDescent="0.25">
      <c r="A51" s="5" t="s">
        <v>51</v>
      </c>
      <c r="B51" s="6">
        <v>305128</v>
      </c>
      <c r="C51" s="6">
        <v>73961</v>
      </c>
      <c r="D51" s="6">
        <v>73961</v>
      </c>
      <c r="E51" s="6">
        <v>0</v>
      </c>
    </row>
    <row r="52" spans="1:5" ht="15" x14ac:dyDescent="0.25">
      <c r="A52" s="5" t="s">
        <v>52</v>
      </c>
      <c r="B52" s="6">
        <v>1312824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109209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1621399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4520482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345776</v>
      </c>
      <c r="C56" s="6">
        <v>64405</v>
      </c>
      <c r="D56" s="6">
        <v>63770</v>
      </c>
      <c r="E56" s="6">
        <v>635</v>
      </c>
    </row>
    <row r="57" spans="1:5" ht="15" x14ac:dyDescent="0.25">
      <c r="A57" s="5" t="s">
        <v>57</v>
      </c>
      <c r="B57" s="6">
        <v>174580</v>
      </c>
      <c r="C57" s="6">
        <v>61022</v>
      </c>
      <c r="D57" s="6">
        <v>0</v>
      </c>
      <c r="E57" s="6">
        <v>61022</v>
      </c>
    </row>
    <row r="58" spans="1:5" ht="15" x14ac:dyDescent="0.25">
      <c r="A58" s="5" t="s">
        <v>58</v>
      </c>
      <c r="B58" s="6">
        <v>31882</v>
      </c>
      <c r="C58" s="6">
        <v>15207</v>
      </c>
      <c r="D58" s="6" t="s">
        <v>8</v>
      </c>
      <c r="E58" s="6">
        <v>15207</v>
      </c>
    </row>
    <row r="59" spans="1:5" ht="15" x14ac:dyDescent="0.25">
      <c r="A59" s="5" t="s">
        <v>121</v>
      </c>
      <c r="B59" s="6">
        <v>1473316</v>
      </c>
      <c r="C59" s="6">
        <v>436181</v>
      </c>
      <c r="D59" s="6">
        <v>436181</v>
      </c>
      <c r="E59" s="6">
        <v>0</v>
      </c>
    </row>
    <row r="60" spans="1:5" ht="15" x14ac:dyDescent="0.25">
      <c r="A60" s="5" t="s">
        <v>60</v>
      </c>
      <c r="B60" s="6">
        <v>1821433</v>
      </c>
      <c r="C60" s="6">
        <v>613660</v>
      </c>
      <c r="D60" s="6">
        <v>597898</v>
      </c>
      <c r="E60" s="6">
        <v>15762</v>
      </c>
    </row>
    <row r="61" spans="1:5" ht="15" x14ac:dyDescent="0.25">
      <c r="A61" s="5" t="s">
        <v>61</v>
      </c>
      <c r="B61" s="6">
        <v>542796</v>
      </c>
      <c r="C61" s="6">
        <v>175125</v>
      </c>
      <c r="D61" s="6">
        <v>175125</v>
      </c>
      <c r="E61" s="6">
        <v>0</v>
      </c>
    </row>
    <row r="62" spans="1:5" ht="15" x14ac:dyDescent="0.25">
      <c r="A62" s="5" t="s">
        <v>62</v>
      </c>
      <c r="B62" s="6">
        <v>1283322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61104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79309251</v>
      </c>
      <c r="C64" s="8">
        <f>SUM(C8:C63)</f>
        <v>17166056</v>
      </c>
      <c r="D64" s="8">
        <f>SUM(D8:D63)</f>
        <v>13619087</v>
      </c>
      <c r="E64" s="8">
        <f>SUM(E8:E63)</f>
        <v>3546969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1" spans="1:1" x14ac:dyDescent="0.25">
      <c r="A91" s="9" t="s">
        <v>127</v>
      </c>
    </row>
  </sheetData>
  <conditionalFormatting sqref="A8:E64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BF2E-3BBC-4457-B2FE-A2AFC9F5D58E}">
  <sheetPr>
    <pageSetUpPr fitToPage="1"/>
  </sheetPr>
  <dimension ref="A1:E91"/>
  <sheetViews>
    <sheetView workbookViewId="0">
      <pane ySplit="7" topLeftCell="A54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129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1103184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224521</v>
      </c>
      <c r="C9" s="6">
        <v>61423</v>
      </c>
      <c r="D9" s="6">
        <v>61423</v>
      </c>
      <c r="E9" s="6">
        <v>0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2021527</v>
      </c>
      <c r="C11" s="6">
        <v>503099</v>
      </c>
      <c r="D11" s="6">
        <v>137820</v>
      </c>
      <c r="E11" s="6">
        <v>365279</v>
      </c>
    </row>
    <row r="12" spans="1:5" ht="15" x14ac:dyDescent="0.25">
      <c r="A12" s="5" t="s">
        <v>12</v>
      </c>
      <c r="B12" s="6">
        <v>882897</v>
      </c>
      <c r="C12" s="6">
        <v>285660</v>
      </c>
      <c r="D12" s="6">
        <v>284747</v>
      </c>
      <c r="E12" s="6">
        <v>913</v>
      </c>
    </row>
    <row r="13" spans="1:5" ht="15" x14ac:dyDescent="0.25">
      <c r="A13" s="5" t="s">
        <v>122</v>
      </c>
      <c r="B13" s="6">
        <v>12866248</v>
      </c>
      <c r="C13" s="6">
        <v>3923953</v>
      </c>
      <c r="D13" s="6">
        <v>3896394</v>
      </c>
      <c r="E13" s="6">
        <v>27559</v>
      </c>
    </row>
    <row r="14" spans="1:5" ht="15" x14ac:dyDescent="0.25">
      <c r="A14" s="5" t="s">
        <v>14</v>
      </c>
      <c r="B14" s="6">
        <v>1326138</v>
      </c>
      <c r="C14" s="6">
        <v>443851</v>
      </c>
      <c r="D14" s="6">
        <v>435303</v>
      </c>
      <c r="E14" s="6">
        <v>8548</v>
      </c>
    </row>
    <row r="15" spans="1:5" ht="15" x14ac:dyDescent="0.25">
      <c r="A15" s="5" t="s">
        <v>15</v>
      </c>
      <c r="B15" s="6">
        <v>998602</v>
      </c>
      <c r="C15" s="6">
        <v>289946</v>
      </c>
      <c r="D15" s="6">
        <v>263524</v>
      </c>
      <c r="E15" s="6">
        <v>26422</v>
      </c>
    </row>
    <row r="16" spans="1:5" ht="15" x14ac:dyDescent="0.25">
      <c r="A16" s="5" t="s">
        <v>16</v>
      </c>
      <c r="B16" s="6">
        <v>229335</v>
      </c>
      <c r="C16" s="6">
        <v>68413</v>
      </c>
      <c r="D16" s="6">
        <v>10188</v>
      </c>
      <c r="E16" s="6">
        <v>58225</v>
      </c>
    </row>
    <row r="17" spans="1:5" ht="15" x14ac:dyDescent="0.25">
      <c r="A17" s="5" t="s">
        <v>17</v>
      </c>
      <c r="B17" s="6">
        <v>266248</v>
      </c>
      <c r="C17" s="6">
        <v>110195</v>
      </c>
      <c r="D17" s="6">
        <v>69134</v>
      </c>
      <c r="E17" s="6">
        <v>41061</v>
      </c>
    </row>
    <row r="18" spans="1:5" ht="15" x14ac:dyDescent="0.25">
      <c r="A18" s="5" t="s">
        <v>18</v>
      </c>
      <c r="B18" s="6">
        <v>4255734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2126182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33348</v>
      </c>
      <c r="C20" s="6">
        <v>4417</v>
      </c>
      <c r="D20" s="6" t="s">
        <v>8</v>
      </c>
      <c r="E20" s="6">
        <v>4417</v>
      </c>
    </row>
    <row r="21" spans="1:5" ht="15" x14ac:dyDescent="0.25">
      <c r="A21" s="5" t="s">
        <v>21</v>
      </c>
      <c r="B21" s="6">
        <v>343633</v>
      </c>
      <c r="C21" s="6">
        <v>130662</v>
      </c>
      <c r="D21" s="6">
        <v>22453</v>
      </c>
      <c r="E21" s="6">
        <v>108209</v>
      </c>
    </row>
    <row r="22" spans="1:5" ht="15" x14ac:dyDescent="0.25">
      <c r="A22" s="5" t="s">
        <v>22</v>
      </c>
      <c r="B22" s="6">
        <v>378670</v>
      </c>
      <c r="C22" s="6">
        <v>79781</v>
      </c>
      <c r="D22" s="6">
        <v>79781</v>
      </c>
      <c r="E22" s="6">
        <v>0</v>
      </c>
    </row>
    <row r="23" spans="1:5" ht="15" x14ac:dyDescent="0.25">
      <c r="A23" s="5" t="s">
        <v>23</v>
      </c>
      <c r="B23" s="6">
        <v>2822189</v>
      </c>
      <c r="C23" s="6">
        <v>768662</v>
      </c>
      <c r="D23" s="6">
        <v>663480</v>
      </c>
      <c r="E23" s="6">
        <v>105182</v>
      </c>
    </row>
    <row r="24" spans="1:5" ht="15" x14ac:dyDescent="0.25">
      <c r="A24" s="5" t="s">
        <v>24</v>
      </c>
      <c r="B24" s="6">
        <v>1546388</v>
      </c>
      <c r="C24" s="6">
        <v>404535</v>
      </c>
      <c r="D24" s="6">
        <v>404535</v>
      </c>
      <c r="E24" s="6">
        <v>0</v>
      </c>
    </row>
    <row r="25" spans="1:5" ht="15" x14ac:dyDescent="0.25">
      <c r="A25" s="5" t="s">
        <v>25</v>
      </c>
      <c r="B25" s="6">
        <v>649588</v>
      </c>
      <c r="C25" s="6">
        <v>194570</v>
      </c>
      <c r="D25" s="6">
        <v>167348</v>
      </c>
      <c r="E25" s="6">
        <v>27222</v>
      </c>
    </row>
    <row r="26" spans="1:5" ht="15" x14ac:dyDescent="0.25">
      <c r="A26" s="5" t="s">
        <v>26</v>
      </c>
      <c r="B26" s="6">
        <v>378452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1520103</v>
      </c>
      <c r="C27" s="6">
        <v>617151</v>
      </c>
      <c r="D27" s="6">
        <v>617151</v>
      </c>
      <c r="E27" s="6">
        <v>0</v>
      </c>
    </row>
    <row r="28" spans="1:5" ht="15" x14ac:dyDescent="0.25">
      <c r="A28" s="5" t="s">
        <v>28</v>
      </c>
      <c r="B28" s="6">
        <v>1746994</v>
      </c>
      <c r="C28" s="6">
        <v>553179</v>
      </c>
      <c r="D28" s="6">
        <v>553179</v>
      </c>
      <c r="E28" s="6">
        <v>0</v>
      </c>
    </row>
    <row r="29" spans="1:5" ht="15" x14ac:dyDescent="0.25">
      <c r="A29" s="5" t="s">
        <v>29</v>
      </c>
      <c r="B29" s="6">
        <v>314750</v>
      </c>
      <c r="C29" s="6">
        <v>63225</v>
      </c>
      <c r="D29" s="6">
        <v>49989</v>
      </c>
      <c r="E29" s="6">
        <v>13236</v>
      </c>
    </row>
    <row r="30" spans="1:5" ht="15" x14ac:dyDescent="0.25">
      <c r="A30" s="5" t="s">
        <v>30</v>
      </c>
      <c r="B30" s="6">
        <v>1326330</v>
      </c>
      <c r="C30" s="6">
        <v>342288</v>
      </c>
      <c r="D30" s="6">
        <v>342288</v>
      </c>
      <c r="E30" s="6">
        <v>0</v>
      </c>
    </row>
    <row r="31" spans="1:5" ht="15" x14ac:dyDescent="0.25">
      <c r="A31" s="5" t="s">
        <v>31</v>
      </c>
      <c r="B31" s="6">
        <v>1757047</v>
      </c>
      <c r="C31" s="6">
        <v>368389</v>
      </c>
      <c r="D31" s="6">
        <v>0</v>
      </c>
      <c r="E31" s="6">
        <v>368389</v>
      </c>
    </row>
    <row r="32" spans="1:5" ht="15" x14ac:dyDescent="0.25">
      <c r="A32" s="5" t="s">
        <v>32</v>
      </c>
      <c r="B32" s="6">
        <v>2598311</v>
      </c>
      <c r="C32" s="6">
        <v>784968</v>
      </c>
      <c r="D32" s="6">
        <v>736523</v>
      </c>
      <c r="E32" s="6">
        <v>48445</v>
      </c>
    </row>
    <row r="33" spans="1:5" ht="15" x14ac:dyDescent="0.25">
      <c r="A33" s="5" t="s">
        <v>33</v>
      </c>
      <c r="B33" s="6">
        <v>1135155</v>
      </c>
      <c r="C33" s="6">
        <v>214339</v>
      </c>
      <c r="D33" s="6">
        <v>213556</v>
      </c>
      <c r="E33" s="6">
        <v>783</v>
      </c>
    </row>
    <row r="34" spans="1:5" ht="15" x14ac:dyDescent="0.25">
      <c r="A34" s="5" t="s">
        <v>34</v>
      </c>
      <c r="B34" s="6">
        <v>712974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955423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251680</v>
      </c>
      <c r="C36" s="6">
        <v>94155</v>
      </c>
      <c r="D36" s="6">
        <v>94155</v>
      </c>
      <c r="E36" s="6">
        <v>0</v>
      </c>
    </row>
    <row r="37" spans="1:5" ht="15" x14ac:dyDescent="0.25">
      <c r="A37" s="5" t="s">
        <v>37</v>
      </c>
      <c r="B37" s="6">
        <v>16517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252610</v>
      </c>
      <c r="C38" s="6">
        <v>0</v>
      </c>
      <c r="D38" s="6">
        <v>0</v>
      </c>
      <c r="E38" s="6">
        <v>0</v>
      </c>
    </row>
    <row r="39" spans="1:5" ht="15" x14ac:dyDescent="0.25">
      <c r="A39" s="5" t="s">
        <v>39</v>
      </c>
      <c r="B39" s="6">
        <v>670975</v>
      </c>
      <c r="C39" s="6">
        <v>249514</v>
      </c>
      <c r="D39" s="6">
        <v>249514</v>
      </c>
      <c r="E39" s="6">
        <v>0</v>
      </c>
    </row>
    <row r="40" spans="1:5" ht="15" x14ac:dyDescent="0.25">
      <c r="A40" s="5" t="s">
        <v>40</v>
      </c>
      <c r="B40" s="6">
        <v>198346</v>
      </c>
      <c r="C40" s="6">
        <v>62396</v>
      </c>
      <c r="D40" s="6">
        <v>62064</v>
      </c>
      <c r="E40" s="6">
        <v>332</v>
      </c>
    </row>
    <row r="41" spans="1:5" ht="15" x14ac:dyDescent="0.25">
      <c r="A41" s="5" t="s">
        <v>41</v>
      </c>
      <c r="B41" s="6">
        <v>1710679</v>
      </c>
      <c r="C41" s="6">
        <v>592558</v>
      </c>
      <c r="D41" s="6">
        <v>592558</v>
      </c>
      <c r="E41" s="6">
        <v>0</v>
      </c>
    </row>
    <row r="42" spans="1:5" ht="15" x14ac:dyDescent="0.25">
      <c r="A42" s="5" t="s">
        <v>42</v>
      </c>
      <c r="B42" s="6">
        <v>881328</v>
      </c>
      <c r="C42" s="6">
        <v>278780</v>
      </c>
      <c r="D42" s="6">
        <v>278780</v>
      </c>
      <c r="E42" s="6">
        <v>0</v>
      </c>
    </row>
    <row r="43" spans="1:5" ht="15" x14ac:dyDescent="0.25">
      <c r="A43" s="5" t="s">
        <v>43</v>
      </c>
      <c r="B43" s="6">
        <v>6513847</v>
      </c>
      <c r="C43" s="6">
        <v>2104474</v>
      </c>
      <c r="D43" s="6">
        <v>364832</v>
      </c>
      <c r="E43" s="6">
        <v>1739642</v>
      </c>
    </row>
    <row r="44" spans="1:5" ht="15" x14ac:dyDescent="0.25">
      <c r="A44" s="5" t="s">
        <v>44</v>
      </c>
      <c r="B44" s="6">
        <v>2290598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103854</v>
      </c>
      <c r="C45" s="6">
        <v>23086</v>
      </c>
      <c r="D45" s="6">
        <v>21874</v>
      </c>
      <c r="E45" s="6">
        <v>1212</v>
      </c>
    </row>
    <row r="46" spans="1:5" ht="15" x14ac:dyDescent="0.25">
      <c r="A46" s="5" t="s">
        <v>46</v>
      </c>
      <c r="B46" s="6">
        <v>2942971</v>
      </c>
      <c r="C46" s="6">
        <v>558714</v>
      </c>
      <c r="D46" s="6">
        <v>558430</v>
      </c>
      <c r="E46" s="6">
        <v>284</v>
      </c>
    </row>
    <row r="47" spans="1:5" ht="15" x14ac:dyDescent="0.25">
      <c r="A47" s="5" t="s">
        <v>47</v>
      </c>
      <c r="B47" s="6">
        <v>747921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1061777</v>
      </c>
      <c r="C48" s="6">
        <v>538992</v>
      </c>
      <c r="D48" s="6">
        <v>447575</v>
      </c>
      <c r="E48" s="6">
        <v>91417</v>
      </c>
    </row>
    <row r="49" spans="1:5" ht="15" x14ac:dyDescent="0.25">
      <c r="A49" s="5" t="s">
        <v>49</v>
      </c>
      <c r="B49" s="6">
        <v>3034716</v>
      </c>
      <c r="C49" s="6">
        <v>885863</v>
      </c>
      <c r="D49" s="6">
        <v>840690</v>
      </c>
      <c r="E49" s="6">
        <v>45173</v>
      </c>
    </row>
    <row r="50" spans="1:5" ht="15" x14ac:dyDescent="0.25">
      <c r="A50" s="5" t="s">
        <v>50</v>
      </c>
      <c r="B50" s="6">
        <v>1190728</v>
      </c>
      <c r="C50" s="6">
        <v>425618</v>
      </c>
      <c r="D50" s="6" t="s">
        <v>8</v>
      </c>
      <c r="E50" s="6">
        <v>425618</v>
      </c>
    </row>
    <row r="51" spans="1:5" ht="15" x14ac:dyDescent="0.25">
      <c r="A51" s="5" t="s">
        <v>51</v>
      </c>
      <c r="B51" s="6">
        <v>307986</v>
      </c>
      <c r="C51" s="6">
        <v>75358</v>
      </c>
      <c r="D51" s="6">
        <v>75358</v>
      </c>
      <c r="E51" s="6">
        <v>0</v>
      </c>
    </row>
    <row r="52" spans="1:5" ht="15" x14ac:dyDescent="0.25">
      <c r="A52" s="5" t="s">
        <v>52</v>
      </c>
      <c r="B52" s="6">
        <v>1324312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110617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1634360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4588078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356189</v>
      </c>
      <c r="C56" s="6">
        <v>67501</v>
      </c>
      <c r="D56" s="6">
        <v>66838</v>
      </c>
      <c r="E56" s="6">
        <v>663</v>
      </c>
    </row>
    <row r="57" spans="1:5" ht="15" x14ac:dyDescent="0.25">
      <c r="A57" s="5" t="s">
        <v>57</v>
      </c>
      <c r="B57" s="6">
        <v>176679</v>
      </c>
      <c r="C57" s="6">
        <v>62458</v>
      </c>
      <c r="D57" s="6">
        <v>0</v>
      </c>
      <c r="E57" s="6">
        <v>62458</v>
      </c>
    </row>
    <row r="58" spans="1:5" ht="15" x14ac:dyDescent="0.25">
      <c r="A58" s="5" t="s">
        <v>58</v>
      </c>
      <c r="B58" s="6">
        <v>31797</v>
      </c>
      <c r="C58" s="6">
        <v>15211</v>
      </c>
      <c r="D58" s="6" t="s">
        <v>8</v>
      </c>
      <c r="E58" s="6">
        <v>15211</v>
      </c>
    </row>
    <row r="59" spans="1:5" ht="15" x14ac:dyDescent="0.25">
      <c r="A59" s="5" t="s">
        <v>121</v>
      </c>
      <c r="B59" s="6">
        <v>1493912</v>
      </c>
      <c r="C59" s="6">
        <v>448239</v>
      </c>
      <c r="D59" s="6">
        <v>448239</v>
      </c>
      <c r="E59" s="6">
        <v>0</v>
      </c>
    </row>
    <row r="60" spans="1:5" ht="15" x14ac:dyDescent="0.25">
      <c r="A60" s="5" t="s">
        <v>60</v>
      </c>
      <c r="B60" s="6">
        <v>1842964</v>
      </c>
      <c r="C60" s="6">
        <v>627385</v>
      </c>
      <c r="D60" s="6">
        <v>611509</v>
      </c>
      <c r="E60" s="6">
        <v>15876</v>
      </c>
    </row>
    <row r="61" spans="1:5" ht="15" x14ac:dyDescent="0.25">
      <c r="A61" s="5" t="s">
        <v>61</v>
      </c>
      <c r="B61" s="6">
        <v>549449</v>
      </c>
      <c r="C61" s="6">
        <v>178252</v>
      </c>
      <c r="D61" s="6">
        <v>178252</v>
      </c>
      <c r="E61" s="6">
        <v>0</v>
      </c>
    </row>
    <row r="62" spans="1:5" ht="15" x14ac:dyDescent="0.25">
      <c r="A62" s="5" t="s">
        <v>62</v>
      </c>
      <c r="B62" s="6">
        <v>1301400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61719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80202982</v>
      </c>
      <c r="C64" s="8">
        <f>SUM(C8:C63)</f>
        <v>17501260</v>
      </c>
      <c r="D64" s="8">
        <f>SUM(D8:D63)</f>
        <v>13899484</v>
      </c>
      <c r="E64" s="8">
        <f>SUM(E8:E63)</f>
        <v>3601776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1" spans="1:1" x14ac:dyDescent="0.25">
      <c r="A91" s="9" t="s">
        <v>127</v>
      </c>
    </row>
  </sheetData>
  <conditionalFormatting sqref="A8:E64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69EE-6CE7-446C-A68C-885502D8CD95}">
  <sheetPr>
    <pageSetUpPr fitToPage="1"/>
  </sheetPr>
  <dimension ref="A1:E91"/>
  <sheetViews>
    <sheetView workbookViewId="0">
      <pane ySplit="7" topLeftCell="A49" activePane="bottomLeft" state="frozenSplit"/>
      <selection activeCell="B60" sqref="B60"/>
      <selection pane="bottomLeft" activeCell="B60" sqref="B60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130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1113166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225188</v>
      </c>
      <c r="C9" s="6">
        <v>61728</v>
      </c>
      <c r="D9" s="6">
        <v>61727</v>
      </c>
      <c r="E9" s="6">
        <v>1</v>
      </c>
    </row>
    <row r="10" spans="1:5" ht="15" x14ac:dyDescent="0.25">
      <c r="A10" s="5" t="s">
        <v>10</v>
      </c>
      <c r="B10" s="6">
        <v>35002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2046619</v>
      </c>
      <c r="C11" s="6">
        <v>516040</v>
      </c>
      <c r="D11" s="6">
        <v>143420</v>
      </c>
      <c r="E11" s="6">
        <v>372620</v>
      </c>
    </row>
    <row r="12" spans="1:5" ht="15" x14ac:dyDescent="0.25">
      <c r="A12" s="5" t="s">
        <v>12</v>
      </c>
      <c r="B12" s="6">
        <v>891099</v>
      </c>
      <c r="C12" s="6">
        <v>290434</v>
      </c>
      <c r="D12" s="6">
        <v>289515</v>
      </c>
      <c r="E12" s="6">
        <v>919</v>
      </c>
    </row>
    <row r="13" spans="1:5" ht="15" x14ac:dyDescent="0.25">
      <c r="A13" s="5" t="s">
        <v>122</v>
      </c>
      <c r="B13" s="6">
        <v>12892566</v>
      </c>
      <c r="C13" s="6">
        <v>3954890</v>
      </c>
      <c r="D13" s="6">
        <v>3927007</v>
      </c>
      <c r="E13" s="6">
        <v>27883</v>
      </c>
    </row>
    <row r="14" spans="1:5" ht="15" x14ac:dyDescent="0.25">
      <c r="A14" s="5" t="s">
        <v>14</v>
      </c>
      <c r="B14" s="6">
        <v>1346548</v>
      </c>
      <c r="C14" s="6">
        <v>452156</v>
      </c>
      <c r="D14" s="6">
        <v>443744</v>
      </c>
      <c r="E14" s="6">
        <v>8412</v>
      </c>
    </row>
    <row r="15" spans="1:5" ht="15" x14ac:dyDescent="0.25">
      <c r="A15" s="5" t="s">
        <v>15</v>
      </c>
      <c r="B15" s="6">
        <v>1006794</v>
      </c>
      <c r="C15" s="6">
        <v>292890</v>
      </c>
      <c r="D15" s="6">
        <v>266603</v>
      </c>
      <c r="E15" s="6">
        <v>26287</v>
      </c>
    </row>
    <row r="16" spans="1:5" ht="15" x14ac:dyDescent="0.25">
      <c r="A16" s="5" t="s">
        <v>16</v>
      </c>
      <c r="B16" s="6">
        <v>231311</v>
      </c>
      <c r="C16" s="6">
        <v>69185</v>
      </c>
      <c r="D16" s="6">
        <v>10301</v>
      </c>
      <c r="E16" s="6">
        <v>58884</v>
      </c>
    </row>
    <row r="17" spans="1:5" ht="15" x14ac:dyDescent="0.25">
      <c r="A17" s="5" t="s">
        <v>17</v>
      </c>
      <c r="B17" s="6">
        <v>268089</v>
      </c>
      <c r="C17" s="6">
        <v>111414</v>
      </c>
      <c r="D17" s="6">
        <v>70069</v>
      </c>
      <c r="E17" s="6">
        <v>41345</v>
      </c>
    </row>
    <row r="18" spans="1:5" ht="15" x14ac:dyDescent="0.25">
      <c r="A18" s="5" t="s">
        <v>18</v>
      </c>
      <c r="B18" s="6">
        <v>4252055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2148020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32968</v>
      </c>
      <c r="C20" s="6">
        <v>4291</v>
      </c>
      <c r="D20" s="6" t="s">
        <v>8</v>
      </c>
      <c r="E20" s="6">
        <v>4291</v>
      </c>
    </row>
    <row r="21" spans="1:5" ht="15" x14ac:dyDescent="0.25">
      <c r="A21" s="5" t="s">
        <v>21</v>
      </c>
      <c r="B21" s="6">
        <v>348761</v>
      </c>
      <c r="C21" s="6">
        <v>133702</v>
      </c>
      <c r="D21" s="6">
        <v>23261</v>
      </c>
      <c r="E21" s="6">
        <v>110441</v>
      </c>
    </row>
    <row r="22" spans="1:5" ht="15" x14ac:dyDescent="0.25">
      <c r="A22" s="5" t="s">
        <v>22</v>
      </c>
      <c r="B22" s="6">
        <v>382293</v>
      </c>
      <c r="C22" s="6">
        <v>81928</v>
      </c>
      <c r="D22" s="6">
        <v>81928</v>
      </c>
      <c r="E22" s="6">
        <v>0</v>
      </c>
    </row>
    <row r="23" spans="1:5" ht="15" x14ac:dyDescent="0.25">
      <c r="A23" s="5" t="s">
        <v>23</v>
      </c>
      <c r="B23" s="6">
        <v>2849937</v>
      </c>
      <c r="C23" s="6">
        <v>780037</v>
      </c>
      <c r="D23" s="6">
        <v>675072</v>
      </c>
      <c r="E23" s="6">
        <v>104965</v>
      </c>
    </row>
    <row r="24" spans="1:5" ht="15" x14ac:dyDescent="0.25">
      <c r="A24" s="5" t="s">
        <v>24</v>
      </c>
      <c r="B24" s="6">
        <v>1562001</v>
      </c>
      <c r="C24" s="6">
        <v>413319</v>
      </c>
      <c r="D24" s="6">
        <v>413319</v>
      </c>
      <c r="E24" s="6">
        <v>0</v>
      </c>
    </row>
    <row r="25" spans="1:5" ht="15" x14ac:dyDescent="0.25">
      <c r="A25" s="5" t="s">
        <v>25</v>
      </c>
      <c r="B25" s="6">
        <v>655811</v>
      </c>
      <c r="C25" s="6">
        <v>197210</v>
      </c>
      <c r="D25" s="6">
        <v>168963</v>
      </c>
      <c r="E25" s="6">
        <v>28247</v>
      </c>
    </row>
    <row r="26" spans="1:5" ht="15" x14ac:dyDescent="0.25">
      <c r="A26" s="5" t="s">
        <v>26</v>
      </c>
      <c r="B26" s="6">
        <v>382068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1515963</v>
      </c>
      <c r="C27" s="6">
        <v>614692</v>
      </c>
      <c r="D27" s="6">
        <v>614692</v>
      </c>
      <c r="E27" s="6">
        <v>0</v>
      </c>
    </row>
    <row r="28" spans="1:5" ht="15" x14ac:dyDescent="0.25">
      <c r="A28" s="5" t="s">
        <v>28</v>
      </c>
      <c r="B28" s="6">
        <v>1760034</v>
      </c>
      <c r="C28" s="6">
        <v>561862</v>
      </c>
      <c r="D28" s="6">
        <v>561862</v>
      </c>
      <c r="E28" s="6">
        <v>0</v>
      </c>
    </row>
    <row r="29" spans="1:5" ht="15" x14ac:dyDescent="0.25">
      <c r="A29" s="5" t="s">
        <v>29</v>
      </c>
      <c r="B29" s="6">
        <v>317797</v>
      </c>
      <c r="C29" s="6">
        <v>64962</v>
      </c>
      <c r="D29" s="6">
        <v>51291</v>
      </c>
      <c r="E29" s="6">
        <v>13671</v>
      </c>
    </row>
    <row r="30" spans="1:5" ht="15" x14ac:dyDescent="0.25">
      <c r="A30" s="5" t="s">
        <v>30</v>
      </c>
      <c r="B30" s="6">
        <v>1340820</v>
      </c>
      <c r="C30" s="6">
        <v>347788</v>
      </c>
      <c r="D30" s="6">
        <v>347788</v>
      </c>
      <c r="E30" s="6">
        <v>0</v>
      </c>
    </row>
    <row r="31" spans="1:5" ht="15" x14ac:dyDescent="0.25">
      <c r="A31" s="5" t="s">
        <v>31</v>
      </c>
      <c r="B31" s="6">
        <v>1774053</v>
      </c>
      <c r="C31" s="6">
        <v>371979</v>
      </c>
      <c r="D31" s="6">
        <v>0</v>
      </c>
      <c r="E31" s="6">
        <v>371979</v>
      </c>
    </row>
    <row r="32" spans="1:5" ht="15" x14ac:dyDescent="0.25">
      <c r="A32" s="5" t="s">
        <v>32</v>
      </c>
      <c r="B32" s="6">
        <v>2631613</v>
      </c>
      <c r="C32" s="6">
        <v>803612</v>
      </c>
      <c r="D32" s="6">
        <v>754595</v>
      </c>
      <c r="E32" s="6">
        <v>49017</v>
      </c>
    </row>
    <row r="33" spans="1:5" ht="15" x14ac:dyDescent="0.25">
      <c r="A33" s="5" t="s">
        <v>33</v>
      </c>
      <c r="B33" s="6">
        <v>1139158</v>
      </c>
      <c r="C33" s="6">
        <v>216433</v>
      </c>
      <c r="D33" s="6">
        <v>215719</v>
      </c>
      <c r="E33" s="6">
        <v>714</v>
      </c>
    </row>
    <row r="34" spans="1:5" ht="15" x14ac:dyDescent="0.25">
      <c r="A34" s="5" t="s">
        <v>34</v>
      </c>
      <c r="B34" s="6">
        <v>721425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971836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254160</v>
      </c>
      <c r="C36" s="6">
        <v>95315</v>
      </c>
      <c r="D36" s="6">
        <v>95315</v>
      </c>
      <c r="E36" s="6">
        <v>0</v>
      </c>
    </row>
    <row r="37" spans="1:5" ht="15" x14ac:dyDescent="0.25">
      <c r="A37" s="5" t="s">
        <v>37</v>
      </c>
      <c r="B37" s="6">
        <v>16215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258931</v>
      </c>
      <c r="C38" s="6">
        <v>0</v>
      </c>
      <c r="D38" s="6">
        <v>0</v>
      </c>
      <c r="E38" s="6">
        <v>0</v>
      </c>
    </row>
    <row r="39" spans="1:5" ht="15" x14ac:dyDescent="0.25">
      <c r="A39" s="5" t="s">
        <v>39</v>
      </c>
      <c r="B39" s="6">
        <v>684208</v>
      </c>
      <c r="C39" s="6">
        <v>256397</v>
      </c>
      <c r="D39" s="6">
        <v>256397</v>
      </c>
      <c r="E39" s="6">
        <v>0</v>
      </c>
    </row>
    <row r="40" spans="1:5" ht="15" x14ac:dyDescent="0.25">
      <c r="A40" s="5" t="s">
        <v>40</v>
      </c>
      <c r="B40" s="6">
        <v>200497</v>
      </c>
      <c r="C40" s="6">
        <v>63878</v>
      </c>
      <c r="D40" s="6">
        <v>63523</v>
      </c>
      <c r="E40" s="6">
        <v>355</v>
      </c>
    </row>
    <row r="41" spans="1:5" ht="15" x14ac:dyDescent="0.25">
      <c r="A41" s="5" t="s">
        <v>41</v>
      </c>
      <c r="B41" s="6">
        <v>1731462</v>
      </c>
      <c r="C41" s="6">
        <v>603209</v>
      </c>
      <c r="D41" s="6">
        <v>603209</v>
      </c>
      <c r="E41" s="6">
        <v>0</v>
      </c>
    </row>
    <row r="42" spans="1:5" ht="15" x14ac:dyDescent="0.25">
      <c r="A42" s="5" t="s">
        <v>42</v>
      </c>
      <c r="B42" s="6">
        <v>885893</v>
      </c>
      <c r="C42" s="6">
        <v>279207</v>
      </c>
      <c r="D42" s="6">
        <v>279207</v>
      </c>
      <c r="E42" s="6">
        <v>0</v>
      </c>
    </row>
    <row r="43" spans="1:5" ht="15" x14ac:dyDescent="0.25">
      <c r="A43" s="5" t="s">
        <v>43</v>
      </c>
      <c r="B43" s="6">
        <v>6582648</v>
      </c>
      <c r="C43" s="6">
        <v>2136976</v>
      </c>
      <c r="D43" s="6">
        <v>372528</v>
      </c>
      <c r="E43" s="6">
        <v>1764448</v>
      </c>
    </row>
    <row r="44" spans="1:5" ht="15" x14ac:dyDescent="0.25">
      <c r="A44" s="5" t="s">
        <v>44</v>
      </c>
      <c r="B44" s="6">
        <v>2315558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103274</v>
      </c>
      <c r="C45" s="6">
        <v>22593</v>
      </c>
      <c r="D45" s="6">
        <v>21391</v>
      </c>
      <c r="E45" s="6">
        <v>1202</v>
      </c>
    </row>
    <row r="46" spans="1:5" ht="15" x14ac:dyDescent="0.25">
      <c r="A46" s="5" t="s">
        <v>46</v>
      </c>
      <c r="B46" s="6">
        <v>2957976</v>
      </c>
      <c r="C46" s="6">
        <v>558312</v>
      </c>
      <c r="D46" s="6">
        <v>558031</v>
      </c>
      <c r="E46" s="6">
        <v>281</v>
      </c>
    </row>
    <row r="47" spans="1:5" ht="15" x14ac:dyDescent="0.25">
      <c r="A47" s="5" t="s">
        <v>47</v>
      </c>
      <c r="B47" s="6">
        <v>761390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1070839</v>
      </c>
      <c r="C48" s="6">
        <v>546138</v>
      </c>
      <c r="D48" s="6">
        <v>454292</v>
      </c>
      <c r="E48" s="6">
        <v>91846</v>
      </c>
    </row>
    <row r="49" spans="1:5" ht="15" x14ac:dyDescent="0.25">
      <c r="A49" s="5" t="s">
        <v>49</v>
      </c>
      <c r="B49" s="6">
        <v>3068675</v>
      </c>
      <c r="C49" s="6">
        <v>905210</v>
      </c>
      <c r="D49" s="6">
        <v>859175</v>
      </c>
      <c r="E49" s="6">
        <v>46035</v>
      </c>
    </row>
    <row r="50" spans="1:5" ht="15" x14ac:dyDescent="0.25">
      <c r="A50" s="5" t="s">
        <v>50</v>
      </c>
      <c r="B50" s="6">
        <v>1199697</v>
      </c>
      <c r="C50" s="6">
        <v>430204</v>
      </c>
      <c r="D50" s="6" t="s">
        <v>8</v>
      </c>
      <c r="E50" s="6">
        <v>430204</v>
      </c>
    </row>
    <row r="51" spans="1:5" ht="15" x14ac:dyDescent="0.25">
      <c r="A51" s="5" t="s">
        <v>51</v>
      </c>
      <c r="B51" s="6">
        <v>310496</v>
      </c>
      <c r="C51" s="6">
        <v>76686</v>
      </c>
      <c r="D51" s="6">
        <v>76686</v>
      </c>
      <c r="E51" s="6">
        <v>0</v>
      </c>
    </row>
    <row r="52" spans="1:5" ht="15" x14ac:dyDescent="0.25">
      <c r="A52" s="5" t="s">
        <v>52</v>
      </c>
      <c r="B52" s="6">
        <v>1334135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112153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1644183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4649620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365138</v>
      </c>
      <c r="C56" s="6">
        <v>69926</v>
      </c>
      <c r="D56" s="6">
        <v>69222</v>
      </c>
      <c r="E56" s="6">
        <v>704</v>
      </c>
    </row>
    <row r="57" spans="1:5" ht="15" x14ac:dyDescent="0.25">
      <c r="A57" s="5" t="s">
        <v>57</v>
      </c>
      <c r="B57" s="6">
        <v>178149</v>
      </c>
      <c r="C57" s="6">
        <v>63302</v>
      </c>
      <c r="D57" s="6">
        <v>0</v>
      </c>
      <c r="E57" s="6">
        <v>63302</v>
      </c>
    </row>
    <row r="58" spans="1:5" ht="15" x14ac:dyDescent="0.25">
      <c r="A58" s="5" t="s">
        <v>58</v>
      </c>
      <c r="B58" s="6">
        <v>31797</v>
      </c>
      <c r="C58" s="6">
        <v>15211</v>
      </c>
      <c r="D58" s="6" t="s">
        <v>8</v>
      </c>
      <c r="E58" s="6">
        <v>15211</v>
      </c>
    </row>
    <row r="59" spans="1:5" ht="15" x14ac:dyDescent="0.25">
      <c r="A59" s="5" t="s">
        <v>121</v>
      </c>
      <c r="B59" s="6">
        <v>1512651</v>
      </c>
      <c r="C59" s="6">
        <v>458564</v>
      </c>
      <c r="D59" s="6">
        <v>458564</v>
      </c>
      <c r="E59" s="6">
        <v>0</v>
      </c>
    </row>
    <row r="60" spans="1:5" ht="15" x14ac:dyDescent="0.25">
      <c r="A60" s="5" t="s">
        <v>60</v>
      </c>
      <c r="B60" s="6">
        <v>1932791</v>
      </c>
      <c r="C60" s="6">
        <v>637571</v>
      </c>
      <c r="D60" s="6">
        <v>622033</v>
      </c>
      <c r="E60" s="6">
        <v>15538</v>
      </c>
    </row>
    <row r="61" spans="1:5" ht="15" x14ac:dyDescent="0.25">
      <c r="A61" s="5" t="s">
        <v>61</v>
      </c>
      <c r="B61" s="6">
        <v>555561</v>
      </c>
      <c r="C61" s="6">
        <v>181499</v>
      </c>
      <c r="D61" s="6">
        <v>181499</v>
      </c>
      <c r="E61" s="6">
        <v>0</v>
      </c>
    </row>
    <row r="62" spans="1:5" ht="15" x14ac:dyDescent="0.25">
      <c r="A62" s="5" t="s">
        <v>62</v>
      </c>
      <c r="B62" s="6">
        <v>1314454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63234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80938780</v>
      </c>
      <c r="C64" s="8">
        <f>SUM(C8:C63)</f>
        <v>17740750</v>
      </c>
      <c r="D64" s="8">
        <f>SUM(D8:D63)</f>
        <v>14091948</v>
      </c>
      <c r="E64" s="8">
        <f>SUM(E8:E63)</f>
        <v>3648802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1" spans="1:1" x14ac:dyDescent="0.25">
      <c r="A91" s="9" t="s">
        <v>127</v>
      </c>
    </row>
  </sheetData>
  <conditionalFormatting sqref="A8:E64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DD5B-B986-4224-A0DB-AFF5E3D37BFF}">
  <sheetPr>
    <pageSetUpPr fitToPage="1"/>
  </sheetPr>
  <dimension ref="A1:E83"/>
  <sheetViews>
    <sheetView workbookViewId="0">
      <pane ySplit="7" topLeftCell="A8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131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1123576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226283</v>
      </c>
      <c r="C9" s="6">
        <v>62237</v>
      </c>
      <c r="D9" s="6">
        <v>62235</v>
      </c>
      <c r="E9" s="6">
        <v>2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2061347</v>
      </c>
      <c r="C11" s="6">
        <v>525461</v>
      </c>
      <c r="D11" s="6">
        <v>151604</v>
      </c>
      <c r="E11" s="6">
        <v>373857</v>
      </c>
    </row>
    <row r="12" spans="1:5" ht="15" x14ac:dyDescent="0.25">
      <c r="A12" s="5" t="s">
        <v>12</v>
      </c>
      <c r="B12" s="6">
        <v>902991</v>
      </c>
      <c r="C12" s="6">
        <v>295474</v>
      </c>
      <c r="D12" s="6">
        <v>294549</v>
      </c>
      <c r="E12" s="6">
        <v>925</v>
      </c>
    </row>
    <row r="13" spans="1:5" ht="15" x14ac:dyDescent="0.25">
      <c r="A13" s="5" t="s">
        <v>122</v>
      </c>
      <c r="B13" s="6">
        <v>13069995</v>
      </c>
      <c r="C13" s="6">
        <v>4033289</v>
      </c>
      <c r="D13" s="6">
        <v>4005146</v>
      </c>
      <c r="E13" s="6">
        <v>28143</v>
      </c>
    </row>
    <row r="14" spans="1:5" ht="15" x14ac:dyDescent="0.25">
      <c r="A14" s="5" t="s">
        <v>14</v>
      </c>
      <c r="B14" s="6">
        <v>1371253</v>
      </c>
      <c r="C14" s="6">
        <v>465150</v>
      </c>
      <c r="D14" s="6">
        <v>456351</v>
      </c>
      <c r="E14" s="6">
        <v>8799</v>
      </c>
    </row>
    <row r="15" spans="1:5" ht="15" x14ac:dyDescent="0.25">
      <c r="A15" s="5" t="s">
        <v>15</v>
      </c>
      <c r="B15" s="6">
        <v>1022058</v>
      </c>
      <c r="C15" s="6">
        <v>298663</v>
      </c>
      <c r="D15" s="6">
        <v>271328</v>
      </c>
      <c r="E15" s="6">
        <v>27335</v>
      </c>
    </row>
    <row r="16" spans="1:5" ht="15" x14ac:dyDescent="0.25">
      <c r="A16" s="5" t="s">
        <v>16</v>
      </c>
      <c r="B16" s="6">
        <v>234170</v>
      </c>
      <c r="C16" s="6">
        <v>70273</v>
      </c>
      <c r="D16" s="6">
        <v>10539</v>
      </c>
      <c r="E16" s="6">
        <v>59734</v>
      </c>
    </row>
    <row r="17" spans="1:5" ht="15" x14ac:dyDescent="0.25">
      <c r="A17" s="5" t="s">
        <v>17</v>
      </c>
      <c r="B17" s="6">
        <v>256032</v>
      </c>
      <c r="C17" s="6">
        <v>112573</v>
      </c>
      <c r="D17" s="6">
        <v>70992</v>
      </c>
      <c r="E17" s="6">
        <v>41581</v>
      </c>
    </row>
    <row r="18" spans="1:5" ht="15" x14ac:dyDescent="0.25">
      <c r="A18" s="5" t="s">
        <v>18</v>
      </c>
      <c r="B18" s="6">
        <v>4403660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2165710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32988</v>
      </c>
      <c r="C20" s="6">
        <v>4247</v>
      </c>
      <c r="D20" s="6" t="s">
        <v>8</v>
      </c>
      <c r="E20" s="6">
        <v>4247</v>
      </c>
    </row>
    <row r="21" spans="1:5" ht="15" x14ac:dyDescent="0.25">
      <c r="A21" s="5" t="s">
        <v>21</v>
      </c>
      <c r="B21" s="6">
        <v>353844</v>
      </c>
      <c r="C21" s="6">
        <v>136764</v>
      </c>
      <c r="D21" s="6">
        <v>23938</v>
      </c>
      <c r="E21" s="6">
        <v>112826</v>
      </c>
    </row>
    <row r="22" spans="1:5" ht="15" x14ac:dyDescent="0.25">
      <c r="A22" s="5" t="s">
        <v>22</v>
      </c>
      <c r="B22" s="6">
        <v>390671</v>
      </c>
      <c r="C22" s="6">
        <v>85953</v>
      </c>
      <c r="D22" s="6">
        <v>85953</v>
      </c>
      <c r="E22" s="6">
        <v>0</v>
      </c>
    </row>
    <row r="23" spans="1:5" ht="15" x14ac:dyDescent="0.25">
      <c r="A23" s="5" t="s">
        <v>23</v>
      </c>
      <c r="B23" s="6">
        <v>2870634</v>
      </c>
      <c r="C23" s="6">
        <v>790627</v>
      </c>
      <c r="D23" s="6">
        <v>685871</v>
      </c>
      <c r="E23" s="6">
        <v>104756</v>
      </c>
    </row>
    <row r="24" spans="1:5" ht="15" x14ac:dyDescent="0.25">
      <c r="A24" s="5" t="s">
        <v>24</v>
      </c>
      <c r="B24" s="6">
        <v>1617128</v>
      </c>
      <c r="C24" s="6">
        <v>428974</v>
      </c>
      <c r="D24" s="6">
        <v>428974</v>
      </c>
      <c r="E24" s="6">
        <v>0</v>
      </c>
    </row>
    <row r="25" spans="1:5" ht="15" x14ac:dyDescent="0.25">
      <c r="A25" s="5" t="s">
        <v>25</v>
      </c>
      <c r="B25" s="6">
        <v>662889</v>
      </c>
      <c r="C25" s="6">
        <v>200288</v>
      </c>
      <c r="D25" s="6">
        <v>171544</v>
      </c>
      <c r="E25" s="6">
        <v>28744</v>
      </c>
    </row>
    <row r="26" spans="1:5" ht="15" x14ac:dyDescent="0.25">
      <c r="A26" s="5" t="s">
        <v>26</v>
      </c>
      <c r="B26" s="6">
        <v>385210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1515279</v>
      </c>
      <c r="C27" s="6">
        <v>615376</v>
      </c>
      <c r="D27" s="6">
        <v>615376</v>
      </c>
      <c r="E27" s="6">
        <v>0</v>
      </c>
    </row>
    <row r="28" spans="1:5" ht="15" x14ac:dyDescent="0.25">
      <c r="A28" s="5" t="s">
        <v>28</v>
      </c>
      <c r="B28" s="6">
        <v>1785285</v>
      </c>
      <c r="C28" s="6">
        <v>575895</v>
      </c>
      <c r="D28" s="6">
        <v>575895</v>
      </c>
      <c r="E28" s="6">
        <v>0</v>
      </c>
    </row>
    <row r="29" spans="1:5" ht="15" x14ac:dyDescent="0.25">
      <c r="A29" s="5" t="s">
        <v>29</v>
      </c>
      <c r="B29" s="6">
        <v>322030</v>
      </c>
      <c r="C29" s="6">
        <v>67114</v>
      </c>
      <c r="D29" s="6">
        <v>52769</v>
      </c>
      <c r="E29" s="6">
        <v>14345</v>
      </c>
    </row>
    <row r="30" spans="1:5" ht="15" x14ac:dyDescent="0.25">
      <c r="A30" s="5" t="s">
        <v>30</v>
      </c>
      <c r="B30" s="6">
        <v>1353610</v>
      </c>
      <c r="C30" s="6">
        <v>352398</v>
      </c>
      <c r="D30" s="6">
        <v>352398</v>
      </c>
      <c r="E30" s="6">
        <v>0</v>
      </c>
    </row>
    <row r="31" spans="1:5" ht="15" x14ac:dyDescent="0.25">
      <c r="A31" s="5" t="s">
        <v>31</v>
      </c>
      <c r="B31" s="6">
        <v>1793269</v>
      </c>
      <c r="C31" s="6">
        <v>377428</v>
      </c>
      <c r="D31" s="6">
        <v>0</v>
      </c>
      <c r="E31" s="6">
        <v>377428</v>
      </c>
    </row>
    <row r="32" spans="1:5" ht="15" x14ac:dyDescent="0.25">
      <c r="A32" s="5" t="s">
        <v>32</v>
      </c>
      <c r="B32" s="6">
        <v>2663378</v>
      </c>
      <c r="C32" s="6">
        <v>821296</v>
      </c>
      <c r="D32" s="6">
        <v>771729</v>
      </c>
      <c r="E32" s="6">
        <v>49567</v>
      </c>
    </row>
    <row r="33" spans="1:5" ht="15" x14ac:dyDescent="0.25">
      <c r="A33" s="5" t="s">
        <v>33</v>
      </c>
      <c r="B33" s="6">
        <v>1164561</v>
      </c>
      <c r="C33" s="6">
        <v>222771</v>
      </c>
      <c r="D33" s="6">
        <v>222771</v>
      </c>
      <c r="E33" s="6">
        <v>0</v>
      </c>
    </row>
    <row r="34" spans="1:5" ht="15" x14ac:dyDescent="0.25">
      <c r="A34" s="5" t="s">
        <v>34</v>
      </c>
      <c r="B34" s="6">
        <v>729167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985138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256528</v>
      </c>
      <c r="C36" s="6">
        <v>96440</v>
      </c>
      <c r="D36" s="6">
        <v>96440</v>
      </c>
      <c r="E36" s="6">
        <v>0</v>
      </c>
    </row>
    <row r="37" spans="1:5" ht="15" x14ac:dyDescent="0.25">
      <c r="A37" s="5" t="s">
        <v>37</v>
      </c>
      <c r="B37" s="6">
        <v>15887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275608</v>
      </c>
      <c r="C38" s="6">
        <v>14770</v>
      </c>
      <c r="D38" s="6">
        <v>14363</v>
      </c>
      <c r="E38" s="6">
        <v>407</v>
      </c>
    </row>
    <row r="39" spans="1:5" ht="15" x14ac:dyDescent="0.25">
      <c r="A39" s="5" t="s">
        <v>39</v>
      </c>
      <c r="B39" s="6">
        <v>695391</v>
      </c>
      <c r="C39" s="6">
        <v>262190</v>
      </c>
      <c r="D39" s="6">
        <v>262190</v>
      </c>
      <c r="E39" s="6">
        <v>0</v>
      </c>
    </row>
    <row r="40" spans="1:5" ht="15" x14ac:dyDescent="0.25">
      <c r="A40" s="5" t="s">
        <v>40</v>
      </c>
      <c r="B40" s="6">
        <v>203259</v>
      </c>
      <c r="C40" s="6">
        <v>65394</v>
      </c>
      <c r="D40" s="6">
        <v>65035</v>
      </c>
      <c r="E40" s="6">
        <v>359</v>
      </c>
    </row>
    <row r="41" spans="1:5" ht="15" x14ac:dyDescent="0.25">
      <c r="A41" s="5" t="s">
        <v>41</v>
      </c>
      <c r="B41" s="6">
        <v>1750578</v>
      </c>
      <c r="C41" s="6">
        <v>613677</v>
      </c>
      <c r="D41" s="6">
        <v>613677</v>
      </c>
      <c r="E41" s="6">
        <v>0</v>
      </c>
    </row>
    <row r="42" spans="1:5" ht="15" x14ac:dyDescent="0.25">
      <c r="A42" s="5" t="s">
        <v>42</v>
      </c>
      <c r="B42" s="6">
        <v>893839</v>
      </c>
      <c r="C42" s="6">
        <v>280902</v>
      </c>
      <c r="D42" s="6">
        <v>280902</v>
      </c>
      <c r="E42" s="6">
        <v>0</v>
      </c>
    </row>
    <row r="43" spans="1:5" ht="15" x14ac:dyDescent="0.25">
      <c r="A43" s="5" t="s">
        <v>43</v>
      </c>
      <c r="B43" s="6">
        <v>6644097</v>
      </c>
      <c r="C43" s="6">
        <v>2165950</v>
      </c>
      <c r="D43" s="6">
        <v>379422</v>
      </c>
      <c r="E43" s="6">
        <v>1786528</v>
      </c>
    </row>
    <row r="44" spans="1:5" ht="15" x14ac:dyDescent="0.25">
      <c r="A44" s="5" t="s">
        <v>44</v>
      </c>
      <c r="B44" s="6">
        <v>2336334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109417</v>
      </c>
      <c r="C45" s="6">
        <v>24236</v>
      </c>
      <c r="D45" s="6">
        <v>22948</v>
      </c>
      <c r="E45" s="6">
        <v>1288</v>
      </c>
    </row>
    <row r="46" spans="1:5" ht="15" x14ac:dyDescent="0.25">
      <c r="A46" s="5" t="s">
        <v>46</v>
      </c>
      <c r="B46" s="6">
        <v>2973871</v>
      </c>
      <c r="C46" s="6">
        <v>560716</v>
      </c>
      <c r="D46" s="6">
        <v>560440</v>
      </c>
      <c r="E46" s="6">
        <v>276</v>
      </c>
    </row>
    <row r="47" spans="1:5" ht="15" x14ac:dyDescent="0.25">
      <c r="A47" s="5" t="s">
        <v>47</v>
      </c>
      <c r="B47" s="6">
        <v>786701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1089264</v>
      </c>
      <c r="C48" s="6">
        <v>558790</v>
      </c>
      <c r="D48" s="6">
        <v>465890</v>
      </c>
      <c r="E48" s="6">
        <v>92900</v>
      </c>
    </row>
    <row r="49" spans="1:5" ht="15" x14ac:dyDescent="0.25">
      <c r="A49" s="5" t="s">
        <v>49</v>
      </c>
      <c r="B49" s="6">
        <v>3097693</v>
      </c>
      <c r="C49" s="6">
        <v>923654</v>
      </c>
      <c r="D49" s="6">
        <v>877097</v>
      </c>
      <c r="E49" s="6">
        <v>46557</v>
      </c>
    </row>
    <row r="50" spans="1:5" ht="15" x14ac:dyDescent="0.25">
      <c r="A50" s="5" t="s">
        <v>50</v>
      </c>
      <c r="B50" s="6">
        <v>1208638</v>
      </c>
      <c r="C50" s="6">
        <v>433412</v>
      </c>
      <c r="D50" s="6" t="s">
        <v>8</v>
      </c>
      <c r="E50" s="6">
        <v>433412</v>
      </c>
    </row>
    <row r="51" spans="1:5" ht="15" x14ac:dyDescent="0.25">
      <c r="A51" s="5" t="s">
        <v>51</v>
      </c>
      <c r="B51" s="6">
        <v>313623</v>
      </c>
      <c r="C51" s="6">
        <v>78223</v>
      </c>
      <c r="D51" s="6">
        <v>78223</v>
      </c>
      <c r="E51" s="6">
        <v>0</v>
      </c>
    </row>
    <row r="52" spans="1:5" ht="15" x14ac:dyDescent="0.25">
      <c r="A52" s="5" t="s">
        <v>52</v>
      </c>
      <c r="B52" s="6">
        <v>1341930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113411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1660773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4720577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372047</v>
      </c>
      <c r="C56" s="6">
        <v>72453</v>
      </c>
      <c r="D56" s="6">
        <v>71709</v>
      </c>
      <c r="E56" s="6">
        <v>744</v>
      </c>
    </row>
    <row r="57" spans="1:5" ht="15" x14ac:dyDescent="0.25">
      <c r="A57" s="5" t="s">
        <v>57</v>
      </c>
      <c r="B57" s="6">
        <v>179465</v>
      </c>
      <c r="C57" s="6">
        <v>64161</v>
      </c>
      <c r="D57" s="6">
        <v>0</v>
      </c>
      <c r="E57" s="6">
        <v>64161</v>
      </c>
    </row>
    <row r="58" spans="1:5" ht="15" x14ac:dyDescent="0.25">
      <c r="A58" s="5" t="s">
        <v>58</v>
      </c>
      <c r="B58" s="6">
        <v>32605</v>
      </c>
      <c r="C58" s="6">
        <v>15675</v>
      </c>
      <c r="D58" s="6" t="s">
        <v>8</v>
      </c>
      <c r="E58" s="6">
        <v>15675</v>
      </c>
    </row>
    <row r="59" spans="1:5" ht="15" x14ac:dyDescent="0.25">
      <c r="A59" s="5" t="s">
        <v>121</v>
      </c>
      <c r="B59" s="6">
        <v>1576071</v>
      </c>
      <c r="C59" s="6">
        <v>394992</v>
      </c>
      <c r="D59" s="6">
        <v>394992</v>
      </c>
      <c r="E59" s="6">
        <v>0</v>
      </c>
    </row>
    <row r="60" spans="1:5" ht="15" x14ac:dyDescent="0.25">
      <c r="A60" s="5" t="s">
        <v>60</v>
      </c>
      <c r="B60" s="6">
        <v>3749256</v>
      </c>
      <c r="C60" s="6">
        <v>1296483</v>
      </c>
      <c r="D60" s="6">
        <v>1265761</v>
      </c>
      <c r="E60" s="6">
        <v>30722</v>
      </c>
    </row>
    <row r="61" spans="1:5" ht="15" x14ac:dyDescent="0.25">
      <c r="A61" s="5" t="s">
        <v>61</v>
      </c>
      <c r="B61" s="6">
        <v>561663</v>
      </c>
      <c r="C61" s="6">
        <v>184967</v>
      </c>
      <c r="D61" s="6">
        <v>184967</v>
      </c>
      <c r="E61" s="6">
        <v>0</v>
      </c>
    </row>
    <row r="62" spans="1:5" ht="15" x14ac:dyDescent="0.25">
      <c r="A62" s="5" t="s">
        <v>62</v>
      </c>
      <c r="B62" s="6">
        <v>1327141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63379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83848958</v>
      </c>
      <c r="C64" s="8">
        <f>SUM(C8:C63)</f>
        <v>18649336</v>
      </c>
      <c r="D64" s="8">
        <f>SUM(D8:D63)</f>
        <v>14944018</v>
      </c>
      <c r="E64" s="8">
        <f>SUM(E8:E63)</f>
        <v>3705318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552E-F2A8-4FD8-909A-11C9D070603D}">
  <sheetPr>
    <pageSetUpPr fitToPage="1"/>
  </sheetPr>
  <dimension ref="A1:E83"/>
  <sheetViews>
    <sheetView workbookViewId="0">
      <pane ySplit="7" topLeftCell="A8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132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1133386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226846</v>
      </c>
      <c r="C9" s="6">
        <v>62882</v>
      </c>
      <c r="D9" s="6">
        <v>62876</v>
      </c>
      <c r="E9" s="6">
        <v>6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2082536</v>
      </c>
      <c r="C11" s="6">
        <v>540058</v>
      </c>
      <c r="D11" s="6">
        <v>157603</v>
      </c>
      <c r="E11" s="6">
        <v>382455</v>
      </c>
    </row>
    <row r="12" spans="1:5" ht="15" x14ac:dyDescent="0.25">
      <c r="A12" s="5" t="s">
        <v>12</v>
      </c>
      <c r="B12" s="6">
        <v>910456</v>
      </c>
      <c r="C12" s="6">
        <v>300560</v>
      </c>
      <c r="D12" s="6">
        <v>299640</v>
      </c>
      <c r="E12" s="6">
        <v>920</v>
      </c>
    </row>
    <row r="13" spans="1:5" ht="15" x14ac:dyDescent="0.25">
      <c r="A13" s="5" t="s">
        <v>122</v>
      </c>
      <c r="B13" s="6">
        <v>13113772</v>
      </c>
      <c r="C13" s="6">
        <v>4072259</v>
      </c>
      <c r="D13" s="6">
        <v>4044048</v>
      </c>
      <c r="E13" s="6">
        <v>28211</v>
      </c>
    </row>
    <row r="14" spans="1:5" ht="15" x14ac:dyDescent="0.25">
      <c r="A14" s="5" t="s">
        <v>14</v>
      </c>
      <c r="B14" s="6">
        <v>1390236</v>
      </c>
      <c r="C14" s="6">
        <v>475900</v>
      </c>
      <c r="D14" s="6">
        <v>467058</v>
      </c>
      <c r="E14" s="6">
        <v>8842</v>
      </c>
    </row>
    <row r="15" spans="1:5" ht="15" x14ac:dyDescent="0.25">
      <c r="A15" s="5" t="s">
        <v>15</v>
      </c>
      <c r="B15" s="6">
        <v>1030264</v>
      </c>
      <c r="C15" s="6">
        <v>302283</v>
      </c>
      <c r="D15" s="6">
        <v>275028</v>
      </c>
      <c r="E15" s="6">
        <v>27255</v>
      </c>
    </row>
    <row r="16" spans="1:5" ht="15" x14ac:dyDescent="0.25">
      <c r="A16" s="5" t="s">
        <v>16</v>
      </c>
      <c r="B16" s="6">
        <v>236357</v>
      </c>
      <c r="C16" s="6">
        <v>71197</v>
      </c>
      <c r="D16" s="6">
        <v>10760</v>
      </c>
      <c r="E16" s="6">
        <v>60437</v>
      </c>
    </row>
    <row r="17" spans="1:5" ht="15" x14ac:dyDescent="0.25">
      <c r="A17" s="5" t="s">
        <v>17</v>
      </c>
      <c r="B17" s="6">
        <v>257607</v>
      </c>
      <c r="C17" s="6">
        <v>113615</v>
      </c>
      <c r="D17" s="6">
        <v>71866</v>
      </c>
      <c r="E17" s="6">
        <v>41749</v>
      </c>
    </row>
    <row r="18" spans="1:5" ht="15" x14ac:dyDescent="0.25">
      <c r="A18" s="5" t="s">
        <v>18</v>
      </c>
      <c r="B18" s="6">
        <v>4448124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2183341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32460</v>
      </c>
      <c r="C20" s="6">
        <v>4124</v>
      </c>
      <c r="D20" s="6" t="s">
        <v>8</v>
      </c>
      <c r="E20" s="6">
        <v>4124</v>
      </c>
    </row>
    <row r="21" spans="1:5" ht="15" x14ac:dyDescent="0.25">
      <c r="A21" s="5" t="s">
        <v>21</v>
      </c>
      <c r="B21" s="6">
        <v>359269</v>
      </c>
      <c r="C21" s="6">
        <v>140114</v>
      </c>
      <c r="D21" s="6">
        <v>24849</v>
      </c>
      <c r="E21" s="6">
        <v>115265</v>
      </c>
    </row>
    <row r="22" spans="1:5" ht="15" x14ac:dyDescent="0.25">
      <c r="A22" s="5" t="s">
        <v>22</v>
      </c>
      <c r="B22" s="6">
        <v>394943</v>
      </c>
      <c r="C22" s="6">
        <v>88750</v>
      </c>
      <c r="D22" s="6">
        <v>88750</v>
      </c>
      <c r="E22" s="6">
        <v>0</v>
      </c>
    </row>
    <row r="23" spans="1:5" ht="15" x14ac:dyDescent="0.25">
      <c r="A23" s="5" t="s">
        <v>23</v>
      </c>
      <c r="B23" s="6">
        <v>2906027</v>
      </c>
      <c r="C23" s="6">
        <v>798867</v>
      </c>
      <c r="D23" s="6">
        <v>694342</v>
      </c>
      <c r="E23" s="6">
        <v>104525</v>
      </c>
    </row>
    <row r="24" spans="1:5" ht="15" x14ac:dyDescent="0.25">
      <c r="A24" s="5" t="s">
        <v>24</v>
      </c>
      <c r="B24" s="6">
        <v>1633454</v>
      </c>
      <c r="C24" s="6">
        <v>440904</v>
      </c>
      <c r="D24" s="6">
        <v>440904</v>
      </c>
      <c r="E24" s="6">
        <v>0</v>
      </c>
    </row>
    <row r="25" spans="1:5" ht="15" x14ac:dyDescent="0.25">
      <c r="A25" s="5" t="s">
        <v>25</v>
      </c>
      <c r="B25" s="6">
        <v>3078698</v>
      </c>
      <c r="C25" s="6">
        <v>204090</v>
      </c>
      <c r="D25" s="6">
        <v>174583</v>
      </c>
      <c r="E25" s="6">
        <v>29507</v>
      </c>
    </row>
    <row r="26" spans="1:5" ht="15" x14ac:dyDescent="0.25">
      <c r="A26" s="5" t="s">
        <v>26</v>
      </c>
      <c r="B26" s="6">
        <v>387950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1520259</v>
      </c>
      <c r="C27" s="6">
        <v>622134</v>
      </c>
      <c r="D27" s="6">
        <v>622134</v>
      </c>
      <c r="E27" s="6">
        <v>0</v>
      </c>
    </row>
    <row r="28" spans="1:5" ht="15" x14ac:dyDescent="0.25">
      <c r="A28" s="5" t="s">
        <v>28</v>
      </c>
      <c r="B28" s="6">
        <v>1801140</v>
      </c>
      <c r="C28" s="6">
        <v>588050</v>
      </c>
      <c r="D28" s="6">
        <v>588050</v>
      </c>
      <c r="E28" s="6">
        <v>0</v>
      </c>
    </row>
    <row r="29" spans="1:5" ht="15" x14ac:dyDescent="0.25">
      <c r="A29" s="5" t="s">
        <v>29</v>
      </c>
      <c r="B29" s="6">
        <v>326340</v>
      </c>
      <c r="C29" s="6">
        <v>70504</v>
      </c>
      <c r="D29" s="6">
        <v>55259</v>
      </c>
      <c r="E29" s="6">
        <v>15245</v>
      </c>
    </row>
    <row r="30" spans="1:5" ht="15" x14ac:dyDescent="0.25">
      <c r="A30" s="5" t="s">
        <v>30</v>
      </c>
      <c r="B30" s="6">
        <v>1364250</v>
      </c>
      <c r="C30" s="6">
        <v>357898</v>
      </c>
      <c r="D30" s="6">
        <v>357898</v>
      </c>
      <c r="E30" s="6">
        <v>0</v>
      </c>
    </row>
    <row r="31" spans="1:5" ht="15" x14ac:dyDescent="0.25">
      <c r="A31" s="5" t="s">
        <v>31</v>
      </c>
      <c r="B31" s="6">
        <v>1794449</v>
      </c>
      <c r="C31" s="6">
        <v>382120</v>
      </c>
      <c r="D31" s="6">
        <v>0</v>
      </c>
      <c r="E31" s="6">
        <v>382120</v>
      </c>
    </row>
    <row r="32" spans="1:5" ht="15" x14ac:dyDescent="0.25">
      <c r="A32" s="5" t="s">
        <v>32</v>
      </c>
      <c r="B32" s="6">
        <v>2691484</v>
      </c>
      <c r="C32" s="6">
        <v>839543</v>
      </c>
      <c r="D32" s="6">
        <v>789865</v>
      </c>
      <c r="E32" s="6">
        <v>49678</v>
      </c>
    </row>
    <row r="33" spans="1:5" ht="15" x14ac:dyDescent="0.25">
      <c r="A33" s="5" t="s">
        <v>33</v>
      </c>
      <c r="B33" s="6">
        <v>1171022</v>
      </c>
      <c r="C33" s="6">
        <v>225926</v>
      </c>
      <c r="D33" s="6">
        <v>225926</v>
      </c>
      <c r="E33" s="6">
        <v>0</v>
      </c>
    </row>
    <row r="34" spans="1:5" ht="15" x14ac:dyDescent="0.25">
      <c r="A34" s="5" t="s">
        <v>34</v>
      </c>
      <c r="B34" s="6">
        <v>735048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995858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260085</v>
      </c>
      <c r="C36" s="6">
        <v>98625</v>
      </c>
      <c r="D36" s="6">
        <v>98625</v>
      </c>
      <c r="E36" s="6">
        <v>0</v>
      </c>
    </row>
    <row r="37" spans="1:5" ht="15" x14ac:dyDescent="0.25">
      <c r="A37" s="5" t="s">
        <v>37</v>
      </c>
      <c r="B37" s="6">
        <v>15735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283112</v>
      </c>
      <c r="C38" s="6">
        <v>21401</v>
      </c>
      <c r="D38" s="6">
        <v>20860</v>
      </c>
      <c r="E38" s="6">
        <v>541</v>
      </c>
    </row>
    <row r="39" spans="1:5" ht="15" x14ac:dyDescent="0.25">
      <c r="A39" s="5" t="s">
        <v>39</v>
      </c>
      <c r="B39" s="6">
        <v>704125</v>
      </c>
      <c r="C39" s="6">
        <v>268317</v>
      </c>
      <c r="D39" s="6">
        <v>268317</v>
      </c>
      <c r="E39" s="6">
        <v>0</v>
      </c>
    </row>
    <row r="40" spans="1:5" ht="15" x14ac:dyDescent="0.25">
      <c r="A40" s="5" t="s">
        <v>40</v>
      </c>
      <c r="B40" s="6">
        <v>206397</v>
      </c>
      <c r="C40" s="6">
        <v>67816</v>
      </c>
      <c r="D40" s="6">
        <v>67444</v>
      </c>
      <c r="E40" s="6">
        <v>372</v>
      </c>
    </row>
    <row r="41" spans="1:5" ht="15" x14ac:dyDescent="0.25">
      <c r="A41" s="5" t="s">
        <v>41</v>
      </c>
      <c r="B41" s="6">
        <v>1765761</v>
      </c>
      <c r="C41" s="6">
        <v>623786</v>
      </c>
      <c r="D41" s="6">
        <v>623786</v>
      </c>
      <c r="E41" s="6">
        <v>0</v>
      </c>
    </row>
    <row r="42" spans="1:5" ht="15" x14ac:dyDescent="0.25">
      <c r="A42" s="5" t="s">
        <v>42</v>
      </c>
      <c r="B42" s="6">
        <v>901651</v>
      </c>
      <c r="C42" s="6">
        <v>283304</v>
      </c>
      <c r="D42" s="6">
        <v>283304</v>
      </c>
      <c r="E42" s="6">
        <v>0</v>
      </c>
    </row>
    <row r="43" spans="1:5" ht="15" x14ac:dyDescent="0.25">
      <c r="A43" s="5" t="s">
        <v>43</v>
      </c>
      <c r="B43" s="6">
        <v>6700613</v>
      </c>
      <c r="C43" s="6">
        <v>2199576</v>
      </c>
      <c r="D43" s="6">
        <v>386829</v>
      </c>
      <c r="E43" s="6">
        <v>1812747</v>
      </c>
    </row>
    <row r="44" spans="1:5" ht="15" x14ac:dyDescent="0.25">
      <c r="A44" s="5" t="s">
        <v>44</v>
      </c>
      <c r="B44" s="6">
        <v>2356655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109366</v>
      </c>
      <c r="C45" s="6">
        <v>24364</v>
      </c>
      <c r="D45" s="6">
        <v>23079</v>
      </c>
      <c r="E45" s="6">
        <v>1285</v>
      </c>
    </row>
    <row r="46" spans="1:5" ht="15" x14ac:dyDescent="0.25">
      <c r="A46" s="5" t="s">
        <v>46</v>
      </c>
      <c r="B46" s="6">
        <v>2981796</v>
      </c>
      <c r="C46" s="6">
        <v>560357</v>
      </c>
      <c r="D46" s="6">
        <v>560089</v>
      </c>
      <c r="E46" s="6">
        <v>268</v>
      </c>
    </row>
    <row r="47" spans="1:5" ht="15" x14ac:dyDescent="0.25">
      <c r="A47" s="5" t="s">
        <v>47</v>
      </c>
      <c r="B47" s="6">
        <v>792456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1104523</v>
      </c>
      <c r="C48" s="6">
        <v>571564</v>
      </c>
      <c r="D48" s="6">
        <v>477960</v>
      </c>
      <c r="E48" s="6">
        <v>93604</v>
      </c>
    </row>
    <row r="49" spans="1:5" ht="15" x14ac:dyDescent="0.25">
      <c r="A49" s="5" t="s">
        <v>49</v>
      </c>
      <c r="B49" s="6">
        <v>3124081</v>
      </c>
      <c r="C49" s="6">
        <v>938810</v>
      </c>
      <c r="D49" s="6">
        <v>891460</v>
      </c>
      <c r="E49" s="6">
        <v>47350</v>
      </c>
    </row>
    <row r="50" spans="1:5" ht="15" x14ac:dyDescent="0.25">
      <c r="A50" s="5" t="s">
        <v>50</v>
      </c>
      <c r="B50" s="6">
        <v>1215110</v>
      </c>
      <c r="C50" s="6">
        <v>436952</v>
      </c>
      <c r="D50" s="6" t="s">
        <v>8</v>
      </c>
      <c r="E50" s="6">
        <v>436952</v>
      </c>
    </row>
    <row r="51" spans="1:5" ht="15" x14ac:dyDescent="0.25">
      <c r="A51" s="5" t="s">
        <v>51</v>
      </c>
      <c r="B51" s="6">
        <v>316070</v>
      </c>
      <c r="C51" s="6">
        <v>79676</v>
      </c>
      <c r="D51" s="6">
        <v>79676</v>
      </c>
      <c r="E51" s="6">
        <v>0</v>
      </c>
    </row>
    <row r="52" spans="1:5" ht="15" x14ac:dyDescent="0.25">
      <c r="A52" s="5" t="s">
        <v>52</v>
      </c>
      <c r="B52" s="6">
        <v>1350982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114317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1670330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4790064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381217</v>
      </c>
      <c r="C56" s="6">
        <v>76113</v>
      </c>
      <c r="D56" s="6">
        <v>75345</v>
      </c>
      <c r="E56" s="6">
        <v>768</v>
      </c>
    </row>
    <row r="57" spans="1:5" ht="15" x14ac:dyDescent="0.25">
      <c r="A57" s="5" t="s">
        <v>57</v>
      </c>
      <c r="B57" s="6">
        <v>181126</v>
      </c>
      <c r="C57" s="6">
        <v>65353</v>
      </c>
      <c r="D57" s="6">
        <v>0</v>
      </c>
      <c r="E57" s="6">
        <v>65353</v>
      </c>
    </row>
    <row r="58" spans="1:5" ht="15" x14ac:dyDescent="0.25">
      <c r="A58" s="5" t="s">
        <v>58</v>
      </c>
      <c r="B58" s="6">
        <v>32763</v>
      </c>
      <c r="C58" s="6">
        <v>15813</v>
      </c>
      <c r="D58" s="6" t="s">
        <v>8</v>
      </c>
      <c r="E58" s="6">
        <v>15813</v>
      </c>
    </row>
    <row r="59" spans="1:5" ht="15" x14ac:dyDescent="0.25">
      <c r="A59" s="5" t="s">
        <v>121</v>
      </c>
      <c r="B59" s="6">
        <v>1551653</v>
      </c>
      <c r="C59" s="6">
        <v>479830</v>
      </c>
      <c r="D59" s="6">
        <v>479830</v>
      </c>
      <c r="E59" s="6">
        <v>0</v>
      </c>
    </row>
    <row r="60" spans="1:5" ht="15" x14ac:dyDescent="0.25">
      <c r="A60" s="5" t="s">
        <v>60</v>
      </c>
      <c r="B60" s="6">
        <v>1893534</v>
      </c>
      <c r="C60" s="6">
        <v>662497</v>
      </c>
      <c r="D60" s="6">
        <v>647089</v>
      </c>
      <c r="E60" s="6">
        <v>15408</v>
      </c>
    </row>
    <row r="61" spans="1:5" ht="15" x14ac:dyDescent="0.25">
      <c r="A61" s="5" t="s">
        <v>61</v>
      </c>
      <c r="B61" s="6">
        <v>569178</v>
      </c>
      <c r="C61" s="6">
        <v>189640</v>
      </c>
      <c r="D61" s="6">
        <v>189640</v>
      </c>
      <c r="E61" s="6">
        <v>0</v>
      </c>
    </row>
    <row r="62" spans="1:5" ht="15" x14ac:dyDescent="0.25">
      <c r="A62" s="5" t="s">
        <v>62</v>
      </c>
      <c r="B62" s="6">
        <v>1342118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62979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85021129</v>
      </c>
      <c r="C64" s="8">
        <f>SUM(C8:C63)</f>
        <v>18365572</v>
      </c>
      <c r="D64" s="8">
        <f>SUM(D8:D63)</f>
        <v>14624772</v>
      </c>
      <c r="E64" s="8">
        <f>SUM(E8:E63)</f>
        <v>3740800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B19A-B93B-470D-8A0B-08AC25B503CB}">
  <sheetPr>
    <pageSetUpPr fitToPage="1"/>
  </sheetPr>
  <dimension ref="A1:E83"/>
  <sheetViews>
    <sheetView workbookViewId="0">
      <pane ySplit="7" topLeftCell="A30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133</v>
      </c>
      <c r="B2" s="2"/>
      <c r="C2" s="2"/>
      <c r="D2" s="2"/>
      <c r="E2" s="2"/>
    </row>
    <row r="3" spans="1:5" ht="15" x14ac:dyDescent="0.25">
      <c r="A3" s="2" t="s">
        <v>123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1141138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226515</v>
      </c>
      <c r="C9" s="6">
        <v>63545</v>
      </c>
      <c r="D9" s="6">
        <v>63539</v>
      </c>
      <c r="E9" s="6">
        <v>6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2094748</v>
      </c>
      <c r="C11" s="6">
        <v>549975</v>
      </c>
      <c r="D11" s="6">
        <v>164269</v>
      </c>
      <c r="E11" s="6">
        <v>385706</v>
      </c>
    </row>
    <row r="12" spans="1:5" ht="15" x14ac:dyDescent="0.25">
      <c r="A12" s="5" t="s">
        <v>12</v>
      </c>
      <c r="B12" s="6">
        <v>919628</v>
      </c>
      <c r="C12" s="6">
        <v>307418</v>
      </c>
      <c r="D12" s="6">
        <v>306497</v>
      </c>
      <c r="E12" s="6">
        <v>921</v>
      </c>
    </row>
    <row r="13" spans="1:5" ht="15" x14ac:dyDescent="0.25">
      <c r="A13" s="5" t="s">
        <v>122</v>
      </c>
      <c r="B13" s="6">
        <v>13159326</v>
      </c>
      <c r="C13" s="6">
        <v>4102727</v>
      </c>
      <c r="D13" s="6">
        <v>4074553</v>
      </c>
      <c r="E13" s="6">
        <v>28174</v>
      </c>
    </row>
    <row r="14" spans="1:5" ht="15" x14ac:dyDescent="0.25">
      <c r="A14" s="5" t="s">
        <v>14</v>
      </c>
      <c r="B14" s="6">
        <v>1410227</v>
      </c>
      <c r="C14" s="6">
        <v>488173</v>
      </c>
      <c r="D14" s="6">
        <v>479375</v>
      </c>
      <c r="E14" s="6">
        <v>8798</v>
      </c>
    </row>
    <row r="15" spans="1:5" ht="15" x14ac:dyDescent="0.25">
      <c r="A15" s="5" t="s">
        <v>15</v>
      </c>
      <c r="B15" s="6">
        <v>1042833</v>
      </c>
      <c r="C15" s="6">
        <v>307720</v>
      </c>
      <c r="D15" s="6">
        <v>280326</v>
      </c>
      <c r="E15" s="6">
        <v>27394</v>
      </c>
    </row>
    <row r="16" spans="1:5" ht="15" x14ac:dyDescent="0.25">
      <c r="A16" s="5" t="s">
        <v>16</v>
      </c>
      <c r="B16" s="6">
        <v>239025</v>
      </c>
      <c r="C16" s="6">
        <v>72256</v>
      </c>
      <c r="D16" s="6">
        <v>10994</v>
      </c>
      <c r="E16" s="6">
        <v>61262</v>
      </c>
    </row>
    <row r="17" spans="1:5" ht="15" x14ac:dyDescent="0.25">
      <c r="A17" s="5" t="s">
        <v>17</v>
      </c>
      <c r="B17" s="6">
        <v>259261</v>
      </c>
      <c r="C17" s="6">
        <v>114771</v>
      </c>
      <c r="D17" s="6">
        <v>72856</v>
      </c>
      <c r="E17" s="6">
        <v>41915</v>
      </c>
    </row>
    <row r="18" spans="1:5" ht="15" x14ac:dyDescent="0.25">
      <c r="A18" s="5" t="s">
        <v>18</v>
      </c>
      <c r="B18" s="6">
        <v>4445313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2193172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31939</v>
      </c>
      <c r="C20" s="6">
        <v>4022</v>
      </c>
      <c r="D20" s="6" t="s">
        <v>8</v>
      </c>
      <c r="E20" s="6">
        <v>4022</v>
      </c>
    </row>
    <row r="21" spans="1:5" ht="15" x14ac:dyDescent="0.25">
      <c r="A21" s="5" t="s">
        <v>21</v>
      </c>
      <c r="B21" s="6">
        <v>357869</v>
      </c>
      <c r="C21" s="6">
        <v>140383</v>
      </c>
      <c r="D21" s="6">
        <v>24869</v>
      </c>
      <c r="E21" s="6">
        <v>115514</v>
      </c>
    </row>
    <row r="22" spans="1:5" ht="15" x14ac:dyDescent="0.25">
      <c r="A22" s="5" t="s">
        <v>22</v>
      </c>
      <c r="B22" s="6">
        <v>394092</v>
      </c>
      <c r="C22" s="6">
        <v>89933</v>
      </c>
      <c r="D22" s="6">
        <v>89933</v>
      </c>
      <c r="E22" s="6">
        <v>0</v>
      </c>
    </row>
    <row r="23" spans="1:5" ht="15" x14ac:dyDescent="0.25">
      <c r="A23" s="5" t="s">
        <v>23</v>
      </c>
      <c r="B23" s="6">
        <v>2937593</v>
      </c>
      <c r="C23" s="6">
        <v>808189</v>
      </c>
      <c r="D23" s="6">
        <v>703749</v>
      </c>
      <c r="E23" s="6">
        <v>104440</v>
      </c>
    </row>
    <row r="24" spans="1:5" ht="15" x14ac:dyDescent="0.25">
      <c r="A24" s="5" t="s">
        <v>24</v>
      </c>
      <c r="B24" s="6">
        <v>1641919</v>
      </c>
      <c r="C24" s="6">
        <v>447750</v>
      </c>
      <c r="D24" s="6">
        <v>447750</v>
      </c>
      <c r="E24" s="6">
        <v>0</v>
      </c>
    </row>
    <row r="25" spans="1:5" ht="15" x14ac:dyDescent="0.25">
      <c r="A25" s="5" t="s">
        <v>25</v>
      </c>
      <c r="B25" s="6">
        <v>677628</v>
      </c>
      <c r="C25" s="6">
        <v>208134</v>
      </c>
      <c r="D25" s="6">
        <v>177817</v>
      </c>
      <c r="E25" s="6">
        <v>30317</v>
      </c>
    </row>
    <row r="26" spans="1:5" ht="15" x14ac:dyDescent="0.25">
      <c r="A26" s="5" t="s">
        <v>26</v>
      </c>
      <c r="B26" s="6">
        <v>389858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1506916</v>
      </c>
      <c r="C27" s="6">
        <v>612712</v>
      </c>
      <c r="D27" s="6">
        <v>612712</v>
      </c>
      <c r="E27" s="6">
        <v>0</v>
      </c>
    </row>
    <row r="28" spans="1:5" ht="15" x14ac:dyDescent="0.25">
      <c r="A28" s="5" t="s">
        <v>28</v>
      </c>
      <c r="B28" s="6">
        <v>1816232</v>
      </c>
      <c r="C28" s="6">
        <v>598589</v>
      </c>
      <c r="D28" s="6">
        <v>598589</v>
      </c>
      <c r="E28" s="6">
        <v>0</v>
      </c>
    </row>
    <row r="29" spans="1:5" ht="15" x14ac:dyDescent="0.25">
      <c r="A29" s="5" t="s">
        <v>29</v>
      </c>
      <c r="B29" s="6">
        <v>330923</v>
      </c>
      <c r="C29" s="6">
        <v>73864</v>
      </c>
      <c r="D29" s="6">
        <v>57803</v>
      </c>
      <c r="E29" s="6">
        <v>16061</v>
      </c>
    </row>
    <row r="30" spans="1:5" ht="15" x14ac:dyDescent="0.25">
      <c r="A30" s="5" t="s">
        <v>30</v>
      </c>
      <c r="B30" s="6">
        <v>1383758</v>
      </c>
      <c r="C30" s="6">
        <v>366815</v>
      </c>
      <c r="D30" s="6">
        <v>366815</v>
      </c>
      <c r="E30" s="6">
        <v>0</v>
      </c>
    </row>
    <row r="31" spans="1:5" ht="15" x14ac:dyDescent="0.25">
      <c r="A31" s="5" t="s">
        <v>31</v>
      </c>
      <c r="B31" s="6">
        <v>1765345</v>
      </c>
      <c r="C31" s="6">
        <v>376913</v>
      </c>
      <c r="D31" s="6">
        <v>0</v>
      </c>
      <c r="E31" s="6">
        <v>376913</v>
      </c>
    </row>
    <row r="32" spans="1:5" ht="15" x14ac:dyDescent="0.25">
      <c r="A32" s="5" t="s">
        <v>32</v>
      </c>
      <c r="B32" s="6">
        <v>2724152</v>
      </c>
      <c r="C32" s="6">
        <v>860277</v>
      </c>
      <c r="D32" s="6">
        <v>810068</v>
      </c>
      <c r="E32" s="6">
        <v>50209</v>
      </c>
    </row>
    <row r="33" spans="1:5" ht="15" x14ac:dyDescent="0.25">
      <c r="A33" s="5" t="s">
        <v>33</v>
      </c>
      <c r="B33" s="6">
        <v>1176859</v>
      </c>
      <c r="C33" s="6">
        <v>229649</v>
      </c>
      <c r="D33" s="6">
        <v>229649</v>
      </c>
      <c r="E33" s="6">
        <v>0</v>
      </c>
    </row>
    <row r="34" spans="1:5" ht="15" x14ac:dyDescent="0.25">
      <c r="A34" s="5" t="s">
        <v>34</v>
      </c>
      <c r="B34" s="6">
        <v>741177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1008795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262664</v>
      </c>
      <c r="C36" s="6">
        <v>100485</v>
      </c>
      <c r="D36" s="6">
        <v>100485</v>
      </c>
      <c r="E36" s="6">
        <v>0</v>
      </c>
    </row>
    <row r="37" spans="1:5" ht="15" x14ac:dyDescent="0.25">
      <c r="A37" s="5" t="s">
        <v>37</v>
      </c>
      <c r="B37" s="6">
        <v>15736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291951</v>
      </c>
      <c r="C38" s="6">
        <v>28609</v>
      </c>
      <c r="D38" s="6">
        <v>27938</v>
      </c>
      <c r="E38" s="6">
        <v>671</v>
      </c>
    </row>
    <row r="39" spans="1:5" ht="15" x14ac:dyDescent="0.25">
      <c r="A39" s="5" t="s">
        <v>39</v>
      </c>
      <c r="B39" s="6">
        <v>709613</v>
      </c>
      <c r="C39" s="6">
        <v>275436</v>
      </c>
      <c r="D39" s="6">
        <v>275436</v>
      </c>
      <c r="E39" s="6">
        <v>0</v>
      </c>
    </row>
    <row r="40" spans="1:5" ht="15" x14ac:dyDescent="0.25">
      <c r="A40" s="5" t="s">
        <v>40</v>
      </c>
      <c r="B40" s="6">
        <v>209658</v>
      </c>
      <c r="C40" s="6">
        <v>70176</v>
      </c>
      <c r="D40" s="6">
        <v>69814</v>
      </c>
      <c r="E40" s="6">
        <v>362</v>
      </c>
    </row>
    <row r="41" spans="1:5" ht="15" x14ac:dyDescent="0.25">
      <c r="A41" s="5" t="s">
        <v>41</v>
      </c>
      <c r="B41" s="6">
        <v>1760094</v>
      </c>
      <c r="C41" s="6">
        <v>622526</v>
      </c>
      <c r="D41" s="6">
        <v>622526</v>
      </c>
      <c r="E41" s="6">
        <v>0</v>
      </c>
    </row>
    <row r="42" spans="1:5" ht="15" x14ac:dyDescent="0.25">
      <c r="A42" s="5" t="s">
        <v>42</v>
      </c>
      <c r="B42" s="6">
        <v>907868</v>
      </c>
      <c r="C42" s="6">
        <v>285557</v>
      </c>
      <c r="D42" s="6">
        <v>285557</v>
      </c>
      <c r="E42" s="6">
        <v>0</v>
      </c>
    </row>
    <row r="43" spans="1:5" ht="15" x14ac:dyDescent="0.25">
      <c r="A43" s="5" t="s">
        <v>43</v>
      </c>
      <c r="B43" s="6">
        <v>6777532</v>
      </c>
      <c r="C43" s="6">
        <v>2246439</v>
      </c>
      <c r="D43" s="6">
        <v>395785</v>
      </c>
      <c r="E43" s="6">
        <v>1850654</v>
      </c>
    </row>
    <row r="44" spans="1:5" ht="15" x14ac:dyDescent="0.25">
      <c r="A44" s="5" t="s">
        <v>44</v>
      </c>
      <c r="B44" s="6">
        <v>2363887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108654</v>
      </c>
      <c r="C45" s="6">
        <v>24119</v>
      </c>
      <c r="D45" s="6">
        <v>22864</v>
      </c>
      <c r="E45" s="6">
        <v>1255</v>
      </c>
    </row>
    <row r="46" spans="1:5" ht="15" x14ac:dyDescent="0.25">
      <c r="A46" s="5" t="s">
        <v>46</v>
      </c>
      <c r="B46" s="6">
        <v>2987643</v>
      </c>
      <c r="C46" s="6">
        <v>561983</v>
      </c>
      <c r="D46" s="6">
        <v>561735</v>
      </c>
      <c r="E46" s="6">
        <v>248</v>
      </c>
    </row>
    <row r="47" spans="1:5" ht="15" x14ac:dyDescent="0.25">
      <c r="A47" s="5" t="s">
        <v>47</v>
      </c>
      <c r="B47" s="6">
        <v>792404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1120109</v>
      </c>
      <c r="C48" s="6">
        <v>585110</v>
      </c>
      <c r="D48" s="6">
        <v>490690</v>
      </c>
      <c r="E48" s="6">
        <v>94420</v>
      </c>
    </row>
    <row r="49" spans="1:5" ht="15" x14ac:dyDescent="0.25">
      <c r="A49" s="5" t="s">
        <v>49</v>
      </c>
      <c r="B49" s="6">
        <v>3161673</v>
      </c>
      <c r="C49" s="6">
        <v>962166</v>
      </c>
      <c r="D49" s="6">
        <v>913888</v>
      </c>
      <c r="E49" s="6">
        <v>48278</v>
      </c>
    </row>
    <row r="50" spans="1:5" ht="15" x14ac:dyDescent="0.25">
      <c r="A50" s="5" t="s">
        <v>50</v>
      </c>
      <c r="B50" s="6">
        <v>1356407</v>
      </c>
      <c r="C50" s="6">
        <v>544052</v>
      </c>
      <c r="D50" s="6" t="s">
        <v>8</v>
      </c>
      <c r="E50" s="6">
        <v>544052</v>
      </c>
    </row>
    <row r="51" spans="1:5" ht="15" x14ac:dyDescent="0.25">
      <c r="A51" s="5" t="s">
        <v>51</v>
      </c>
      <c r="B51" s="6">
        <v>320587</v>
      </c>
      <c r="C51" s="6">
        <v>82223</v>
      </c>
      <c r="D51" s="6">
        <v>82223</v>
      </c>
      <c r="E51" s="6">
        <v>0</v>
      </c>
    </row>
    <row r="52" spans="1:5" ht="15" x14ac:dyDescent="0.25">
      <c r="A52" s="5" t="s">
        <v>52</v>
      </c>
      <c r="B52" s="6">
        <v>1357644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115367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1676327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4901254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388599</v>
      </c>
      <c r="C56" s="6">
        <v>79422</v>
      </c>
      <c r="D56" s="6">
        <v>78637</v>
      </c>
      <c r="E56" s="6">
        <v>785</v>
      </c>
    </row>
    <row r="57" spans="1:5" ht="15" x14ac:dyDescent="0.25">
      <c r="A57" s="5" t="s">
        <v>57</v>
      </c>
      <c r="B57" s="6">
        <v>183394</v>
      </c>
      <c r="C57" s="6">
        <v>67057</v>
      </c>
      <c r="D57" s="6">
        <v>0</v>
      </c>
      <c r="E57" s="6">
        <v>67057</v>
      </c>
    </row>
    <row r="58" spans="1:5" ht="15" x14ac:dyDescent="0.25">
      <c r="A58" s="5" t="s">
        <v>58</v>
      </c>
      <c r="B58" s="6">
        <v>32958</v>
      </c>
      <c r="C58" s="6">
        <v>15962</v>
      </c>
      <c r="D58" s="6" t="s">
        <v>8</v>
      </c>
      <c r="E58" s="6">
        <v>15962</v>
      </c>
    </row>
    <row r="59" spans="1:5" ht="15" x14ac:dyDescent="0.25">
      <c r="A59" s="5" t="s">
        <v>121</v>
      </c>
      <c r="B59" s="6">
        <v>1574108</v>
      </c>
      <c r="C59" s="6">
        <v>494240</v>
      </c>
      <c r="D59" s="6">
        <v>494240</v>
      </c>
      <c r="E59" s="6">
        <v>0</v>
      </c>
    </row>
    <row r="60" spans="1:5" ht="15" x14ac:dyDescent="0.25">
      <c r="A60" s="5" t="s">
        <v>60</v>
      </c>
      <c r="B60" s="6">
        <v>1910704</v>
      </c>
      <c r="C60" s="6">
        <v>678214</v>
      </c>
      <c r="D60" s="6">
        <v>662676</v>
      </c>
      <c r="E60" s="6">
        <v>15538</v>
      </c>
    </row>
    <row r="61" spans="1:5" ht="15" x14ac:dyDescent="0.25">
      <c r="A61" s="5" t="s">
        <v>61</v>
      </c>
      <c r="B61" s="6">
        <v>575310</v>
      </c>
      <c r="C61" s="6">
        <v>193341</v>
      </c>
      <c r="D61" s="6">
        <v>193341</v>
      </c>
      <c r="E61" s="6">
        <v>0</v>
      </c>
    </row>
    <row r="62" spans="1:5" ht="15" x14ac:dyDescent="0.25">
      <c r="A62" s="5" t="s">
        <v>62</v>
      </c>
      <c r="B62" s="6">
        <v>1353048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58017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83327207</v>
      </c>
      <c r="C64" s="8">
        <f>SUM(C8:C63)</f>
        <v>18740932</v>
      </c>
      <c r="D64" s="8">
        <f>SUM(D8:D63)</f>
        <v>14849998</v>
      </c>
      <c r="E64" s="8">
        <f>SUM(E8:E63)</f>
        <v>3890934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109</v>
      </c>
    </row>
    <row r="71" spans="1:1" x14ac:dyDescent="0.25">
      <c r="A71" s="9" t="s">
        <v>69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103</v>
      </c>
    </row>
    <row r="83" spans="1:1" x14ac:dyDescent="0.25">
      <c r="A83" s="9" t="s">
        <v>102</v>
      </c>
    </row>
  </sheetData>
  <conditionalFormatting sqref="A8:E64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May 27, 2021 12:35 PM&amp;R&amp;"-,Regular"&amp;7Page : &amp;"-,Regular"&amp;7&amp;P&amp;"-,Regular"&amp;7 of &amp;"-,Regular"&amp;7&amp;N</oddFooter>
    <evenFooter>&amp;L&amp;"-,Regular"&amp;7Created On: Thursday, May 27, 2021 12:35 PM&amp;R&amp;"-,Regular"&amp;7Page : &amp;"-,Regular"&amp;7&amp;P&amp;"-,Regular"&amp;7 of &amp;"-,Regular"&amp;7&amp;N</evenFooter>
    <firstFooter>&amp;L&amp;"-,Regular"&amp;7Created On: Thursday, May 27, 2021 12:35 PM&amp;R&amp;"-,Regular"&amp;7Page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5122-30C3-46B8-9BA4-9AF910BF990C}">
  <sheetPr>
    <pageSetUpPr fitToPage="1"/>
  </sheetPr>
  <dimension ref="A1:E89"/>
  <sheetViews>
    <sheetView workbookViewId="0">
      <pane ySplit="7" topLeftCell="A30" activePane="bottomLeft" state="frozenSplit"/>
      <selection activeCell="F73" sqref="F73"/>
      <selection pane="bottomLeft" activeCell="B64" sqref="B64"/>
    </sheetView>
  </sheetViews>
  <sheetFormatPr defaultColWidth="9.140625" defaultRowHeight="11.25" x14ac:dyDescent="0.25"/>
  <cols>
    <col min="1" max="1" width="18.5703125" style="1" customWidth="1"/>
    <col min="2" max="5" width="20.570312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141</v>
      </c>
      <c r="B2" s="2"/>
      <c r="C2" s="2"/>
      <c r="D2" s="2"/>
      <c r="E2" s="2"/>
    </row>
    <row r="3" spans="1:5" ht="15" x14ac:dyDescent="0.25">
      <c r="A3" s="2" t="s">
        <v>140</v>
      </c>
      <c r="B3" s="2"/>
      <c r="C3" s="2"/>
      <c r="D3" s="2"/>
      <c r="E3" s="2"/>
    </row>
    <row r="4" spans="1:5" ht="15" x14ac:dyDescent="0.25">
      <c r="A4" s="2" t="s">
        <v>139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1149887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234383</v>
      </c>
      <c r="C9" s="6">
        <v>65181</v>
      </c>
      <c r="D9" s="6">
        <v>65179</v>
      </c>
      <c r="E9" s="6">
        <v>2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2113318</v>
      </c>
      <c r="C11" s="6">
        <v>559737</v>
      </c>
      <c r="D11" s="6">
        <v>171198</v>
      </c>
      <c r="E11" s="6">
        <v>388539</v>
      </c>
    </row>
    <row r="12" spans="1:5" ht="15" x14ac:dyDescent="0.25">
      <c r="A12" s="5" t="s">
        <v>12</v>
      </c>
      <c r="B12" s="6">
        <v>929920</v>
      </c>
      <c r="C12" s="6">
        <v>312100</v>
      </c>
      <c r="D12" s="6">
        <v>311080</v>
      </c>
      <c r="E12" s="6">
        <v>1020</v>
      </c>
    </row>
    <row r="13" spans="1:5" ht="15" x14ac:dyDescent="0.25">
      <c r="A13" s="5" t="s">
        <v>13</v>
      </c>
      <c r="B13" s="6">
        <v>13374816</v>
      </c>
      <c r="C13" s="6">
        <v>4212338</v>
      </c>
      <c r="D13" s="6">
        <v>4184056</v>
      </c>
      <c r="E13" s="6">
        <v>28282</v>
      </c>
    </row>
    <row r="14" spans="1:5" ht="15" x14ac:dyDescent="0.25">
      <c r="A14" s="5" t="s">
        <v>14</v>
      </c>
      <c r="B14" s="6">
        <v>1430499</v>
      </c>
      <c r="C14" s="6">
        <v>499021</v>
      </c>
      <c r="D14" s="6">
        <v>489878</v>
      </c>
      <c r="E14" s="6">
        <v>9143</v>
      </c>
    </row>
    <row r="15" spans="1:5" ht="15" x14ac:dyDescent="0.25">
      <c r="A15" s="5" t="s">
        <v>15</v>
      </c>
      <c r="B15" s="6">
        <v>1053089</v>
      </c>
      <c r="C15" s="6">
        <v>315122</v>
      </c>
      <c r="D15" s="6">
        <v>286373</v>
      </c>
      <c r="E15" s="6">
        <v>28749</v>
      </c>
    </row>
    <row r="16" spans="1:5" ht="15" x14ac:dyDescent="0.25">
      <c r="A16" s="5" t="s">
        <v>16</v>
      </c>
      <c r="B16" s="6">
        <v>241540</v>
      </c>
      <c r="C16" s="6">
        <v>73399</v>
      </c>
      <c r="D16" s="6">
        <v>11243</v>
      </c>
      <c r="E16" s="6">
        <v>62156</v>
      </c>
    </row>
    <row r="17" spans="1:5" ht="15" x14ac:dyDescent="0.25">
      <c r="A17" s="5" t="s">
        <v>17</v>
      </c>
      <c r="B17" s="6">
        <v>262842</v>
      </c>
      <c r="C17" s="6">
        <v>116907</v>
      </c>
      <c r="D17" s="6">
        <v>74470</v>
      </c>
      <c r="E17" s="6">
        <v>42437</v>
      </c>
    </row>
    <row r="18" spans="1:5" ht="15" x14ac:dyDescent="0.25">
      <c r="A18" s="5" t="s">
        <v>18</v>
      </c>
      <c r="B18" s="6">
        <v>4590505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2249475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32636</v>
      </c>
      <c r="C20" s="6">
        <v>4061</v>
      </c>
      <c r="D20" s="6" t="s">
        <v>8</v>
      </c>
      <c r="E20" s="6">
        <v>4061</v>
      </c>
    </row>
    <row r="21" spans="1:5" ht="15" x14ac:dyDescent="0.25">
      <c r="A21" s="5" t="s">
        <v>21</v>
      </c>
      <c r="B21" s="6">
        <v>405711</v>
      </c>
      <c r="C21" s="6">
        <v>149598</v>
      </c>
      <c r="D21" s="6">
        <v>26665</v>
      </c>
      <c r="E21" s="6">
        <v>122933</v>
      </c>
    </row>
    <row r="22" spans="1:5" ht="15" x14ac:dyDescent="0.25">
      <c r="A22" s="5" t="s">
        <v>22</v>
      </c>
      <c r="B22" s="6">
        <v>404131</v>
      </c>
      <c r="C22" s="6">
        <v>95431</v>
      </c>
      <c r="D22" s="6">
        <v>95431</v>
      </c>
      <c r="E22" s="6">
        <v>0</v>
      </c>
    </row>
    <row r="23" spans="1:5" ht="15" x14ac:dyDescent="0.25">
      <c r="A23" s="5" t="s">
        <v>23</v>
      </c>
      <c r="B23" s="6">
        <v>3005385</v>
      </c>
      <c r="C23" s="6">
        <v>831598</v>
      </c>
      <c r="D23" s="6">
        <v>727586</v>
      </c>
      <c r="E23" s="6">
        <v>104012</v>
      </c>
    </row>
    <row r="24" spans="1:5" ht="15" x14ac:dyDescent="0.25">
      <c r="A24" s="5" t="s">
        <v>24</v>
      </c>
      <c r="B24" s="6">
        <v>1693122</v>
      </c>
      <c r="C24" s="6">
        <v>464560</v>
      </c>
      <c r="D24" s="6">
        <v>464560</v>
      </c>
      <c r="E24" s="6">
        <v>0</v>
      </c>
    </row>
    <row r="25" spans="1:5" ht="15" x14ac:dyDescent="0.25">
      <c r="A25" s="5" t="s">
        <v>25</v>
      </c>
      <c r="B25" s="6">
        <v>677038</v>
      </c>
      <c r="C25" s="6">
        <v>211454</v>
      </c>
      <c r="D25" s="6">
        <v>180167</v>
      </c>
      <c r="E25" s="6">
        <v>31287</v>
      </c>
    </row>
    <row r="26" spans="1:5" ht="15" x14ac:dyDescent="0.25">
      <c r="A26" s="5" t="s">
        <v>26</v>
      </c>
      <c r="B26" s="6">
        <v>399194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1541734</v>
      </c>
      <c r="C27" s="6">
        <v>641101</v>
      </c>
      <c r="D27" s="6">
        <v>641101</v>
      </c>
      <c r="E27" s="6">
        <v>0</v>
      </c>
    </row>
    <row r="28" spans="1:5" ht="15" x14ac:dyDescent="0.25">
      <c r="A28" s="5" t="s">
        <v>28</v>
      </c>
      <c r="B28" s="6">
        <v>1835472</v>
      </c>
      <c r="C28" s="6">
        <v>610599</v>
      </c>
      <c r="D28" s="6">
        <v>610599</v>
      </c>
      <c r="E28" s="6">
        <v>0</v>
      </c>
    </row>
    <row r="29" spans="1:5" ht="15" x14ac:dyDescent="0.25">
      <c r="A29" s="5" t="s">
        <v>29</v>
      </c>
      <c r="B29" s="6">
        <v>333560</v>
      </c>
      <c r="C29" s="6">
        <v>75907</v>
      </c>
      <c r="D29" s="6">
        <v>59439</v>
      </c>
      <c r="E29" s="6">
        <v>16468</v>
      </c>
    </row>
    <row r="30" spans="1:5" ht="15" x14ac:dyDescent="0.25">
      <c r="A30" s="5" t="s">
        <v>30</v>
      </c>
      <c r="B30" s="6">
        <v>1397311</v>
      </c>
      <c r="C30" s="6">
        <v>372144</v>
      </c>
      <c r="D30" s="6">
        <v>372144</v>
      </c>
      <c r="E30" s="6">
        <v>0</v>
      </c>
    </row>
    <row r="31" spans="1:5" ht="15" x14ac:dyDescent="0.25">
      <c r="A31" s="5" t="s">
        <v>31</v>
      </c>
      <c r="B31" s="6">
        <v>1833612</v>
      </c>
      <c r="C31" s="6">
        <v>398917</v>
      </c>
      <c r="D31" s="6">
        <v>0</v>
      </c>
      <c r="E31" s="6">
        <v>398917</v>
      </c>
    </row>
    <row r="32" spans="1:5" ht="15" x14ac:dyDescent="0.25">
      <c r="A32" s="5" t="s">
        <v>32</v>
      </c>
      <c r="B32" s="6">
        <v>2751640</v>
      </c>
      <c r="C32" s="6">
        <v>877981</v>
      </c>
      <c r="D32" s="6">
        <v>822306</v>
      </c>
      <c r="E32" s="6">
        <v>55675</v>
      </c>
    </row>
    <row r="33" spans="1:5" ht="15" x14ac:dyDescent="0.25">
      <c r="A33" s="5" t="s">
        <v>33</v>
      </c>
      <c r="B33" s="6">
        <v>1203312</v>
      </c>
      <c r="C33" s="6">
        <v>238821</v>
      </c>
      <c r="D33" s="6">
        <v>238821</v>
      </c>
      <c r="E33" s="6">
        <v>0</v>
      </c>
    </row>
    <row r="34" spans="1:5" ht="15" x14ac:dyDescent="0.25">
      <c r="A34" s="5" t="s">
        <v>34</v>
      </c>
      <c r="B34" s="6">
        <v>747477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1019441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268511</v>
      </c>
      <c r="C36" s="6">
        <v>102990</v>
      </c>
      <c r="D36" s="6">
        <v>102990</v>
      </c>
      <c r="E36" s="6">
        <v>0</v>
      </c>
    </row>
    <row r="37" spans="1:5" ht="15" x14ac:dyDescent="0.25">
      <c r="A37" s="5" t="s">
        <v>37</v>
      </c>
      <c r="B37" s="6">
        <v>16104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306715</v>
      </c>
      <c r="C38" s="6">
        <v>31877</v>
      </c>
      <c r="D38" s="6">
        <v>31121</v>
      </c>
      <c r="E38" s="6">
        <v>756</v>
      </c>
    </row>
    <row r="39" spans="1:5" ht="15" x14ac:dyDescent="0.25">
      <c r="A39" s="5" t="s">
        <v>39</v>
      </c>
      <c r="B39" s="6">
        <v>722100</v>
      </c>
      <c r="C39" s="6">
        <v>280746</v>
      </c>
      <c r="D39" s="6">
        <v>280746</v>
      </c>
      <c r="E39" s="6">
        <v>0</v>
      </c>
    </row>
    <row r="40" spans="1:5" ht="15" x14ac:dyDescent="0.25">
      <c r="A40" s="5" t="s">
        <v>40</v>
      </c>
      <c r="B40" s="6">
        <v>212042</v>
      </c>
      <c r="C40" s="6">
        <v>72197</v>
      </c>
      <c r="D40" s="6">
        <v>71809</v>
      </c>
      <c r="E40" s="6">
        <v>388</v>
      </c>
    </row>
    <row r="41" spans="1:5" ht="15" x14ac:dyDescent="0.25">
      <c r="A41" s="5" t="s">
        <v>41</v>
      </c>
      <c r="B41" s="6">
        <v>1817787</v>
      </c>
      <c r="C41" s="6">
        <v>649876</v>
      </c>
      <c r="D41" s="6">
        <v>649876</v>
      </c>
      <c r="E41" s="6">
        <v>0</v>
      </c>
    </row>
    <row r="42" spans="1:5" ht="15" x14ac:dyDescent="0.25">
      <c r="A42" s="5" t="s">
        <v>42</v>
      </c>
      <c r="B42" s="6">
        <v>914965</v>
      </c>
      <c r="C42" s="6">
        <v>287121</v>
      </c>
      <c r="D42" s="6">
        <v>287121</v>
      </c>
      <c r="E42" s="6">
        <v>0</v>
      </c>
    </row>
    <row r="43" spans="1:5" ht="15" x14ac:dyDescent="0.25">
      <c r="A43" s="5" t="s">
        <v>43</v>
      </c>
      <c r="B43" s="6">
        <v>6871476</v>
      </c>
      <c r="C43" s="6">
        <v>2288354</v>
      </c>
      <c r="D43" s="6">
        <v>402729</v>
      </c>
      <c r="E43" s="6">
        <v>1885625</v>
      </c>
    </row>
    <row r="44" spans="1:5" ht="15" x14ac:dyDescent="0.25">
      <c r="A44" s="5" t="s">
        <v>44</v>
      </c>
      <c r="B44" s="6">
        <v>2432752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111469</v>
      </c>
      <c r="C45" s="6">
        <v>25025</v>
      </c>
      <c r="D45" s="6">
        <v>23702</v>
      </c>
      <c r="E45" s="6">
        <v>1323</v>
      </c>
    </row>
    <row r="46" spans="1:5" ht="15" x14ac:dyDescent="0.25">
      <c r="A46" s="5" t="s">
        <v>46</v>
      </c>
      <c r="B46" s="6">
        <v>3174478</v>
      </c>
      <c r="C46" s="6">
        <v>704250</v>
      </c>
      <c r="D46" s="6">
        <v>703978</v>
      </c>
      <c r="E46" s="6">
        <v>272</v>
      </c>
    </row>
    <row r="47" spans="1:5" ht="15" x14ac:dyDescent="0.25">
      <c r="A47" s="5" t="s">
        <v>47</v>
      </c>
      <c r="B47" s="6">
        <v>813627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1136903</v>
      </c>
      <c r="C48" s="6">
        <v>595927</v>
      </c>
      <c r="D48" s="6">
        <v>500215</v>
      </c>
      <c r="E48" s="6">
        <v>95712</v>
      </c>
    </row>
    <row r="49" spans="1:5" ht="15" x14ac:dyDescent="0.25">
      <c r="A49" s="5" t="s">
        <v>49</v>
      </c>
      <c r="B49" s="6">
        <v>3189891</v>
      </c>
      <c r="C49" s="6">
        <v>979072</v>
      </c>
      <c r="D49" s="6">
        <v>929757</v>
      </c>
      <c r="E49" s="6">
        <v>49315</v>
      </c>
    </row>
    <row r="50" spans="1:5" ht="15" x14ac:dyDescent="0.25">
      <c r="A50" s="5" t="s">
        <v>50</v>
      </c>
      <c r="B50" s="6">
        <v>1376217</v>
      </c>
      <c r="C50" s="6">
        <v>556523</v>
      </c>
      <c r="D50" s="6" t="s">
        <v>8</v>
      </c>
      <c r="E50" s="6">
        <v>556523</v>
      </c>
    </row>
    <row r="51" spans="1:5" ht="15" x14ac:dyDescent="0.25">
      <c r="A51" s="5" t="s">
        <v>51</v>
      </c>
      <c r="B51" s="6">
        <v>331860</v>
      </c>
      <c r="C51" s="6">
        <v>83812</v>
      </c>
      <c r="D51" s="6">
        <v>83812</v>
      </c>
      <c r="E51" s="6">
        <v>0</v>
      </c>
    </row>
    <row r="52" spans="1:5" ht="15" x14ac:dyDescent="0.25">
      <c r="A52" s="5" t="s">
        <v>52</v>
      </c>
      <c r="B52" s="6">
        <v>1388691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116286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1674396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4920954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400127</v>
      </c>
      <c r="C56" s="6">
        <v>82986</v>
      </c>
      <c r="D56" s="6">
        <v>82204</v>
      </c>
      <c r="E56" s="6">
        <v>782</v>
      </c>
    </row>
    <row r="57" spans="1:5" ht="15" x14ac:dyDescent="0.25">
      <c r="A57" s="5" t="s">
        <v>57</v>
      </c>
      <c r="B57" s="6">
        <v>185114</v>
      </c>
      <c r="C57" s="6">
        <v>67939</v>
      </c>
      <c r="D57" s="6">
        <v>0</v>
      </c>
      <c r="E57" s="6">
        <v>67939</v>
      </c>
    </row>
    <row r="58" spans="1:5" ht="15" x14ac:dyDescent="0.25">
      <c r="A58" s="5" t="s">
        <v>58</v>
      </c>
      <c r="B58" s="6">
        <v>33333</v>
      </c>
      <c r="C58" s="6">
        <v>16133</v>
      </c>
      <c r="D58" s="6" t="s">
        <v>8</v>
      </c>
      <c r="E58" s="6">
        <v>16133</v>
      </c>
    </row>
    <row r="59" spans="1:5" ht="15" x14ac:dyDescent="0.25">
      <c r="A59" s="5" t="s">
        <v>59</v>
      </c>
      <c r="B59" s="6">
        <v>1599347</v>
      </c>
      <c r="C59" s="6">
        <v>511119</v>
      </c>
      <c r="D59" s="6">
        <v>511119</v>
      </c>
      <c r="E59" s="6">
        <v>0</v>
      </c>
    </row>
    <row r="60" spans="1:5" ht="15" x14ac:dyDescent="0.25">
      <c r="A60" s="5" t="s">
        <v>60</v>
      </c>
      <c r="B60" s="6">
        <v>1928779</v>
      </c>
      <c r="C60" s="6">
        <v>687714</v>
      </c>
      <c r="D60" s="6">
        <v>671799</v>
      </c>
      <c r="E60" s="6">
        <v>15915</v>
      </c>
    </row>
    <row r="61" spans="1:5" ht="15" x14ac:dyDescent="0.25">
      <c r="A61" s="5" t="s">
        <v>61</v>
      </c>
      <c r="B61" s="6">
        <v>579976</v>
      </c>
      <c r="C61" s="6">
        <v>196520</v>
      </c>
      <c r="D61" s="6">
        <v>196520</v>
      </c>
      <c r="E61" s="6">
        <v>0</v>
      </c>
    </row>
    <row r="62" spans="1:5" ht="15" x14ac:dyDescent="0.25">
      <c r="A62" s="5" t="s">
        <v>62</v>
      </c>
      <c r="B62" s="6">
        <v>1366521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64902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84904129</v>
      </c>
      <c r="C64" s="8">
        <f>SUM(C8:C63)</f>
        <v>19346158</v>
      </c>
      <c r="D64" s="8">
        <f>SUM(D8:D63)</f>
        <v>15361794</v>
      </c>
      <c r="E64" s="8">
        <f>SUM(E8:E63)</f>
        <v>3984364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March 16, 2022 3:26 PM&amp;R&amp;"-,Regular"&amp;7Page : &amp;"-,Regular"&amp;7&amp;P&amp;"-,Regular"&amp;7 of &amp;"-,Regular"&amp;7&amp;N</oddFooter>
    <evenFooter>&amp;L&amp;"-,Regular"&amp;7Created On: Wednesday, March 16, 2022 3:26 PM&amp;R&amp;"-,Regular"&amp;7Page : &amp;"-,Regular"&amp;7&amp;P&amp;"-,Regular"&amp;7 of &amp;"-,Regular"&amp;7&amp;N</evenFooter>
    <firstFooter>&amp;L&amp;"-,Regular"&amp;7Created On: Wednesday, March 16, 2022 3:26 PM&amp;R&amp;"-,Regular"&amp;7Page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77BB-1CE3-4C2C-8BD5-533BB6647153}">
  <sheetPr>
    <pageSetUpPr fitToPage="1"/>
  </sheetPr>
  <dimension ref="A1:E89"/>
  <sheetViews>
    <sheetView workbookViewId="0">
      <pane ySplit="7" topLeftCell="A67" activePane="bottomLeft" state="frozenSplit"/>
      <selection activeCell="F73" sqref="F73"/>
      <selection pane="bottomLeft" activeCell="F73" sqref="F73"/>
    </sheetView>
  </sheetViews>
  <sheetFormatPr defaultColWidth="9.140625" defaultRowHeight="11.25" x14ac:dyDescent="0.25"/>
  <cols>
    <col min="1" max="1" width="18.5703125" style="1" customWidth="1"/>
    <col min="2" max="5" width="20.570312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142</v>
      </c>
      <c r="B2" s="2"/>
      <c r="C2" s="2"/>
      <c r="D2" s="2"/>
      <c r="E2" s="2"/>
    </row>
    <row r="3" spans="1:5" ht="15" x14ac:dyDescent="0.25">
      <c r="A3" s="2" t="s">
        <v>140</v>
      </c>
      <c r="B3" s="2"/>
      <c r="C3" s="2"/>
      <c r="D3" s="2"/>
      <c r="E3" s="2"/>
    </row>
    <row r="4" spans="1:5" ht="15" x14ac:dyDescent="0.25">
      <c r="A4" s="2" t="s">
        <v>139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1157360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235782</v>
      </c>
      <c r="C9" s="6">
        <v>65712</v>
      </c>
      <c r="D9" s="6">
        <v>65710</v>
      </c>
      <c r="E9" s="6">
        <v>2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2132306</v>
      </c>
      <c r="C11" s="6">
        <v>570485</v>
      </c>
      <c r="D11" s="6">
        <v>176479</v>
      </c>
      <c r="E11" s="6">
        <v>394006</v>
      </c>
    </row>
    <row r="12" spans="1:5" ht="15" x14ac:dyDescent="0.25">
      <c r="A12" s="5" t="s">
        <v>12</v>
      </c>
      <c r="B12" s="6">
        <v>934306</v>
      </c>
      <c r="C12" s="6">
        <v>315159</v>
      </c>
      <c r="D12" s="6">
        <v>314052</v>
      </c>
      <c r="E12" s="6">
        <v>1107</v>
      </c>
    </row>
    <row r="13" spans="1:5" ht="15" x14ac:dyDescent="0.25">
      <c r="A13" s="5" t="s">
        <v>13</v>
      </c>
      <c r="B13" s="6">
        <v>13400398</v>
      </c>
      <c r="C13" s="6">
        <v>4241396</v>
      </c>
      <c r="D13" s="6">
        <v>4212946</v>
      </c>
      <c r="E13" s="6">
        <v>28450</v>
      </c>
    </row>
    <row r="14" spans="1:5" ht="15" x14ac:dyDescent="0.25">
      <c r="A14" s="5" t="s">
        <v>14</v>
      </c>
      <c r="B14" s="6">
        <v>1445278</v>
      </c>
      <c r="C14" s="6">
        <v>505938</v>
      </c>
      <c r="D14" s="6">
        <v>496770</v>
      </c>
      <c r="E14" s="6">
        <v>9168</v>
      </c>
    </row>
    <row r="15" spans="1:5" ht="15" x14ac:dyDescent="0.25">
      <c r="A15" s="5" t="s">
        <v>15</v>
      </c>
      <c r="B15" s="6">
        <v>1067307</v>
      </c>
      <c r="C15" s="6">
        <v>343061</v>
      </c>
      <c r="D15" s="6">
        <v>313790</v>
      </c>
      <c r="E15" s="6">
        <v>29271</v>
      </c>
    </row>
    <row r="16" spans="1:5" ht="15" x14ac:dyDescent="0.25">
      <c r="A16" s="5" t="s">
        <v>16</v>
      </c>
      <c r="B16" s="6">
        <v>244290</v>
      </c>
      <c r="C16" s="6">
        <v>74745</v>
      </c>
      <c r="D16" s="6">
        <v>11490</v>
      </c>
      <c r="E16" s="6">
        <v>63255</v>
      </c>
    </row>
    <row r="17" spans="1:5" ht="15" x14ac:dyDescent="0.25">
      <c r="A17" s="5" t="s">
        <v>17</v>
      </c>
      <c r="B17" s="6">
        <v>263808</v>
      </c>
      <c r="C17" s="6">
        <v>117684</v>
      </c>
      <c r="D17" s="6">
        <v>75102</v>
      </c>
      <c r="E17" s="6">
        <v>42582</v>
      </c>
    </row>
    <row r="18" spans="1:5" ht="15" x14ac:dyDescent="0.25">
      <c r="A18" s="5" t="s">
        <v>18</v>
      </c>
      <c r="B18" s="6">
        <v>4626246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2267550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32301</v>
      </c>
      <c r="C20" s="6">
        <v>4029</v>
      </c>
      <c r="D20" s="6" t="s">
        <v>8</v>
      </c>
      <c r="E20" s="6">
        <v>4029</v>
      </c>
    </row>
    <row r="21" spans="1:5" ht="15" x14ac:dyDescent="0.25">
      <c r="A21" s="5" t="s">
        <v>21</v>
      </c>
      <c r="B21" s="6">
        <v>409923</v>
      </c>
      <c r="C21" s="6">
        <v>152557</v>
      </c>
      <c r="D21" s="6">
        <v>27143</v>
      </c>
      <c r="E21" s="6">
        <v>125414</v>
      </c>
    </row>
    <row r="22" spans="1:5" ht="15" x14ac:dyDescent="0.25">
      <c r="A22" s="5" t="s">
        <v>22</v>
      </c>
      <c r="B22" s="6">
        <v>405145</v>
      </c>
      <c r="C22" s="6">
        <v>96643</v>
      </c>
      <c r="D22" s="6">
        <v>96643</v>
      </c>
      <c r="E22" s="6">
        <v>0</v>
      </c>
    </row>
    <row r="23" spans="1:5" ht="15" x14ac:dyDescent="0.25">
      <c r="A23" s="5" t="s">
        <v>23</v>
      </c>
      <c r="B23" s="6">
        <v>3020056</v>
      </c>
      <c r="C23" s="6">
        <v>844193</v>
      </c>
      <c r="D23" s="6">
        <v>740422</v>
      </c>
      <c r="E23" s="6">
        <v>103771</v>
      </c>
    </row>
    <row r="24" spans="1:5" ht="15" x14ac:dyDescent="0.25">
      <c r="A24" s="5" t="s">
        <v>24</v>
      </c>
      <c r="B24" s="6">
        <v>1703646</v>
      </c>
      <c r="C24" s="6">
        <v>471735</v>
      </c>
      <c r="D24" s="6">
        <v>471735</v>
      </c>
      <c r="E24" s="6">
        <v>0</v>
      </c>
    </row>
    <row r="25" spans="1:5" ht="15" x14ac:dyDescent="0.25">
      <c r="A25" s="5" t="s">
        <v>25</v>
      </c>
      <c r="B25" s="6">
        <v>690726</v>
      </c>
      <c r="C25" s="6">
        <v>214201</v>
      </c>
      <c r="D25" s="6">
        <v>182115</v>
      </c>
      <c r="E25" s="6">
        <v>32086</v>
      </c>
    </row>
    <row r="26" spans="1:5" ht="15" x14ac:dyDescent="0.25">
      <c r="A26" s="5" t="s">
        <v>26</v>
      </c>
      <c r="B26" s="6">
        <v>402372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1548528</v>
      </c>
      <c r="C27" s="6">
        <v>646895</v>
      </c>
      <c r="D27" s="6">
        <v>646895</v>
      </c>
      <c r="E27" s="6">
        <v>0</v>
      </c>
    </row>
    <row r="28" spans="1:5" ht="15" x14ac:dyDescent="0.25">
      <c r="A28" s="5" t="s">
        <v>28</v>
      </c>
      <c r="B28" s="6">
        <v>1843759</v>
      </c>
      <c r="C28" s="6">
        <v>619257</v>
      </c>
      <c r="D28" s="6">
        <v>619257</v>
      </c>
      <c r="E28" s="6">
        <v>0</v>
      </c>
    </row>
    <row r="29" spans="1:5" ht="15" x14ac:dyDescent="0.25">
      <c r="A29" s="5" t="s">
        <v>29</v>
      </c>
      <c r="B29" s="6">
        <v>335960</v>
      </c>
      <c r="C29" s="6">
        <v>77149</v>
      </c>
      <c r="D29" s="6">
        <v>60503</v>
      </c>
      <c r="E29" s="6">
        <v>16646</v>
      </c>
    </row>
    <row r="30" spans="1:5" ht="15" x14ac:dyDescent="0.25">
      <c r="A30" s="5" t="s">
        <v>30</v>
      </c>
      <c r="B30" s="6">
        <v>1407538</v>
      </c>
      <c r="C30" s="6">
        <v>376041</v>
      </c>
      <c r="D30" s="6">
        <v>376041</v>
      </c>
      <c r="E30" s="6">
        <v>0</v>
      </c>
    </row>
    <row r="31" spans="1:5" ht="15" x14ac:dyDescent="0.25">
      <c r="A31" s="5" t="s">
        <v>31</v>
      </c>
      <c r="B31" s="6">
        <v>1836765</v>
      </c>
      <c r="C31" s="6">
        <v>399441</v>
      </c>
      <c r="D31" s="6">
        <v>0</v>
      </c>
      <c r="E31" s="6">
        <v>399441</v>
      </c>
    </row>
    <row r="32" spans="1:5" ht="15" x14ac:dyDescent="0.25">
      <c r="A32" s="5" t="s">
        <v>32</v>
      </c>
      <c r="B32" s="6">
        <v>2768020</v>
      </c>
      <c r="C32" s="6">
        <v>889900</v>
      </c>
      <c r="D32" s="6">
        <v>834260</v>
      </c>
      <c r="E32" s="6">
        <v>55640</v>
      </c>
    </row>
    <row r="33" spans="1:5" ht="15" x14ac:dyDescent="0.25">
      <c r="A33" s="5" t="s">
        <v>33</v>
      </c>
      <c r="B33" s="6">
        <v>1207467</v>
      </c>
      <c r="C33" s="6">
        <v>241114</v>
      </c>
      <c r="D33" s="6">
        <v>241114</v>
      </c>
      <c r="E33" s="6">
        <v>0</v>
      </c>
    </row>
    <row r="34" spans="1:5" ht="15" x14ac:dyDescent="0.25">
      <c r="A34" s="5" t="s">
        <v>34</v>
      </c>
      <c r="B34" s="6">
        <v>752344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1026070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270206</v>
      </c>
      <c r="C36" s="6">
        <v>103744</v>
      </c>
      <c r="D36" s="6">
        <v>103744</v>
      </c>
      <c r="E36" s="6">
        <v>0</v>
      </c>
    </row>
    <row r="37" spans="1:5" ht="15" x14ac:dyDescent="0.25">
      <c r="A37" s="5" t="s">
        <v>37</v>
      </c>
      <c r="B37" s="6">
        <v>15873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311135</v>
      </c>
      <c r="C38" s="6">
        <v>34223</v>
      </c>
      <c r="D38" s="6">
        <v>33510</v>
      </c>
      <c r="E38" s="6">
        <v>713</v>
      </c>
    </row>
    <row r="39" spans="1:5" ht="15" x14ac:dyDescent="0.25">
      <c r="A39" s="5" t="s">
        <v>39</v>
      </c>
      <c r="B39" s="6">
        <v>729312</v>
      </c>
      <c r="C39" s="6">
        <v>286163</v>
      </c>
      <c r="D39" s="6">
        <v>286163</v>
      </c>
      <c r="E39" s="6">
        <v>0</v>
      </c>
    </row>
    <row r="40" spans="1:5" ht="15" x14ac:dyDescent="0.25">
      <c r="A40" s="5" t="s">
        <v>40</v>
      </c>
      <c r="B40" s="6">
        <v>213166</v>
      </c>
      <c r="C40" s="6">
        <v>73342</v>
      </c>
      <c r="D40" s="6">
        <v>72939</v>
      </c>
      <c r="E40" s="6">
        <v>403</v>
      </c>
    </row>
    <row r="41" spans="1:5" ht="15" x14ac:dyDescent="0.25">
      <c r="A41" s="5" t="s">
        <v>41</v>
      </c>
      <c r="B41" s="6">
        <v>1831804</v>
      </c>
      <c r="C41" s="6">
        <v>657033</v>
      </c>
      <c r="D41" s="6">
        <v>657033</v>
      </c>
      <c r="E41" s="6">
        <v>0</v>
      </c>
    </row>
    <row r="42" spans="1:5" ht="15" x14ac:dyDescent="0.25">
      <c r="A42" s="5" t="s">
        <v>42</v>
      </c>
      <c r="B42" s="6">
        <v>919509</v>
      </c>
      <c r="C42" s="6">
        <v>287729</v>
      </c>
      <c r="D42" s="6">
        <v>287729</v>
      </c>
      <c r="E42" s="6">
        <v>0</v>
      </c>
    </row>
    <row r="43" spans="1:5" ht="15" x14ac:dyDescent="0.25">
      <c r="A43" s="5" t="s">
        <v>43</v>
      </c>
      <c r="B43" s="6">
        <v>6883491</v>
      </c>
      <c r="C43" s="6">
        <v>2297056</v>
      </c>
      <c r="D43" s="6">
        <v>404514</v>
      </c>
      <c r="E43" s="6">
        <v>1892542</v>
      </c>
    </row>
    <row r="44" spans="1:5" ht="15" x14ac:dyDescent="0.25">
      <c r="A44" s="5" t="s">
        <v>44</v>
      </c>
      <c r="B44" s="6">
        <v>2453913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110090</v>
      </c>
      <c r="C45" s="6">
        <v>24793</v>
      </c>
      <c r="D45" s="6">
        <v>23498</v>
      </c>
      <c r="E45" s="6">
        <v>1295</v>
      </c>
    </row>
    <row r="46" spans="1:5" ht="15" x14ac:dyDescent="0.25">
      <c r="A46" s="5" t="s">
        <v>46</v>
      </c>
      <c r="B46" s="6">
        <v>3193658</v>
      </c>
      <c r="C46" s="6">
        <v>711765</v>
      </c>
      <c r="D46" s="6">
        <v>711502</v>
      </c>
      <c r="E46" s="6">
        <v>263</v>
      </c>
    </row>
    <row r="47" spans="1:5" ht="15" x14ac:dyDescent="0.25">
      <c r="A47" s="5" t="s">
        <v>47</v>
      </c>
      <c r="B47" s="6">
        <v>817202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1143431</v>
      </c>
      <c r="C48" s="6">
        <v>602057</v>
      </c>
      <c r="D48" s="6">
        <v>506425</v>
      </c>
      <c r="E48" s="6">
        <v>95632</v>
      </c>
    </row>
    <row r="49" spans="1:5" ht="15" x14ac:dyDescent="0.25">
      <c r="A49" s="5" t="s">
        <v>49</v>
      </c>
      <c r="B49" s="6">
        <v>3212383</v>
      </c>
      <c r="C49" s="6">
        <v>990652</v>
      </c>
      <c r="D49" s="6">
        <v>940521</v>
      </c>
      <c r="E49" s="6">
        <v>50131</v>
      </c>
    </row>
    <row r="50" spans="1:5" ht="15" x14ac:dyDescent="0.25">
      <c r="A50" s="5" t="s">
        <v>50</v>
      </c>
      <c r="B50" s="6">
        <v>1387700</v>
      </c>
      <c r="C50" s="6">
        <v>564567</v>
      </c>
      <c r="D50" s="6" t="s">
        <v>8</v>
      </c>
      <c r="E50" s="6">
        <v>564567</v>
      </c>
    </row>
    <row r="51" spans="1:5" ht="15" x14ac:dyDescent="0.25">
      <c r="A51" s="5" t="s">
        <v>51</v>
      </c>
      <c r="B51" s="6">
        <v>334494</v>
      </c>
      <c r="C51" s="6">
        <v>84920</v>
      </c>
      <c r="D51" s="6">
        <v>84920</v>
      </c>
      <c r="E51" s="6">
        <v>0</v>
      </c>
    </row>
    <row r="52" spans="1:5" ht="15" x14ac:dyDescent="0.25">
      <c r="A52" s="5" t="s">
        <v>52</v>
      </c>
      <c r="B52" s="6">
        <v>1396336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117113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1682264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4966850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406786</v>
      </c>
      <c r="C56" s="6">
        <v>85769</v>
      </c>
      <c r="D56" s="6">
        <v>85004</v>
      </c>
      <c r="E56" s="6">
        <v>765</v>
      </c>
    </row>
    <row r="57" spans="1:5" ht="15" x14ac:dyDescent="0.25">
      <c r="A57" s="5" t="s">
        <v>57</v>
      </c>
      <c r="B57" s="6">
        <v>186021</v>
      </c>
      <c r="C57" s="6">
        <v>68528</v>
      </c>
      <c r="D57" s="6">
        <v>0</v>
      </c>
      <c r="E57" s="6">
        <v>68528</v>
      </c>
    </row>
    <row r="58" spans="1:5" ht="15" x14ac:dyDescent="0.25">
      <c r="A58" s="5" t="s">
        <v>58</v>
      </c>
      <c r="B58" s="6">
        <v>33477</v>
      </c>
      <c r="C58" s="6">
        <v>16212</v>
      </c>
      <c r="D58" s="6" t="s">
        <v>8</v>
      </c>
      <c r="E58" s="6">
        <v>16212</v>
      </c>
    </row>
    <row r="59" spans="1:5" ht="15" x14ac:dyDescent="0.25">
      <c r="A59" s="5" t="s">
        <v>59</v>
      </c>
      <c r="B59" s="6">
        <v>1614839</v>
      </c>
      <c r="C59" s="6">
        <v>520711</v>
      </c>
      <c r="D59" s="6">
        <v>520711</v>
      </c>
      <c r="E59" s="6">
        <v>0</v>
      </c>
    </row>
    <row r="60" spans="1:5" ht="15" x14ac:dyDescent="0.25">
      <c r="A60" s="5" t="s">
        <v>60</v>
      </c>
      <c r="B60" s="6">
        <v>1936203</v>
      </c>
      <c r="C60" s="6">
        <v>695016</v>
      </c>
      <c r="D60" s="6">
        <v>679117</v>
      </c>
      <c r="E60" s="6">
        <v>15899</v>
      </c>
    </row>
    <row r="61" spans="1:5" ht="15" x14ac:dyDescent="0.25">
      <c r="A61" s="5" t="s">
        <v>61</v>
      </c>
      <c r="B61" s="6">
        <v>584563</v>
      </c>
      <c r="C61" s="6">
        <v>199052</v>
      </c>
      <c r="D61" s="6">
        <v>199052</v>
      </c>
      <c r="E61" s="6">
        <v>0</v>
      </c>
    </row>
    <row r="62" spans="1:5" ht="15" x14ac:dyDescent="0.25">
      <c r="A62" s="5" t="s">
        <v>62</v>
      </c>
      <c r="B62" s="6">
        <v>1376597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65791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85397214</v>
      </c>
      <c r="C64" s="8">
        <f>SUM(C8:C63)</f>
        <v>19570667</v>
      </c>
      <c r="D64" s="8">
        <f>SUM(D8:D63)</f>
        <v>15558849</v>
      </c>
      <c r="E64" s="8">
        <f>SUM(E8:E63)</f>
        <v>4011818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March 16, 2022 3:26 PM&amp;R&amp;"-,Regular"&amp;7Page : &amp;"-,Regular"&amp;7&amp;P&amp;"-,Regular"&amp;7 of &amp;"-,Regular"&amp;7&amp;N</oddFooter>
    <evenFooter>&amp;L&amp;"-,Regular"&amp;7Created On: Wednesday, March 16, 2022 3:26 PM&amp;R&amp;"-,Regular"&amp;7Page : &amp;"-,Regular"&amp;7&amp;P&amp;"-,Regular"&amp;7 of &amp;"-,Regular"&amp;7&amp;N</evenFooter>
    <firstFooter>&amp;L&amp;"-,Regular"&amp;7Created On: Wednesday, March 16, 2022 3:26 PM&amp;R&amp;"-,Regular"&amp;7Page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0D8C-87A0-4977-BB43-2EC1FFBF073A}">
  <sheetPr>
    <pageSetUpPr fitToPage="1"/>
  </sheetPr>
  <dimension ref="A1:E89"/>
  <sheetViews>
    <sheetView workbookViewId="0">
      <pane ySplit="7" topLeftCell="A66" activePane="bottomLeft" state="frozenSplit"/>
      <selection activeCell="F73" sqref="F73"/>
      <selection pane="bottomLeft" activeCell="F73" sqref="F73"/>
    </sheetView>
  </sheetViews>
  <sheetFormatPr defaultColWidth="9.140625" defaultRowHeight="11.25" x14ac:dyDescent="0.25"/>
  <cols>
    <col min="1" max="1" width="18.5703125" style="1" customWidth="1"/>
    <col min="2" max="5" width="20.570312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144</v>
      </c>
      <c r="B2" s="2"/>
      <c r="C2" s="2"/>
      <c r="D2" s="2"/>
      <c r="E2" s="2"/>
    </row>
    <row r="3" spans="1:5" ht="15" x14ac:dyDescent="0.25">
      <c r="A3" s="2" t="s">
        <v>140</v>
      </c>
      <c r="B3" s="2"/>
      <c r="C3" s="2"/>
      <c r="D3" s="2"/>
      <c r="E3" s="2"/>
    </row>
    <row r="4" spans="1:5" ht="15" x14ac:dyDescent="0.25">
      <c r="A4" s="2" t="s">
        <v>139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1165486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237225</v>
      </c>
      <c r="C9" s="6">
        <v>66214</v>
      </c>
      <c r="D9" s="6">
        <v>66212</v>
      </c>
      <c r="E9" s="6">
        <v>2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2147759</v>
      </c>
      <c r="C11" s="6">
        <v>579535</v>
      </c>
      <c r="D11" s="6">
        <v>181828</v>
      </c>
      <c r="E11" s="6">
        <v>397707</v>
      </c>
    </row>
    <row r="12" spans="1:5" ht="15" x14ac:dyDescent="0.25">
      <c r="A12" s="5" t="s">
        <v>12</v>
      </c>
      <c r="B12" s="6">
        <v>939798</v>
      </c>
      <c r="C12" s="6">
        <v>318447</v>
      </c>
      <c r="D12" s="6">
        <v>316949</v>
      </c>
      <c r="E12" s="6">
        <v>1498</v>
      </c>
    </row>
    <row r="13" spans="1:5" ht="15" x14ac:dyDescent="0.25">
      <c r="A13" s="5" t="s">
        <v>13</v>
      </c>
      <c r="B13" s="6">
        <v>13405437</v>
      </c>
      <c r="C13" s="6">
        <v>4261648</v>
      </c>
      <c r="D13" s="6">
        <v>4233111</v>
      </c>
      <c r="E13" s="6">
        <v>28537</v>
      </c>
    </row>
    <row r="14" spans="1:5" ht="15" x14ac:dyDescent="0.25">
      <c r="A14" s="5" t="s">
        <v>14</v>
      </c>
      <c r="B14" s="6">
        <v>1459289</v>
      </c>
      <c r="C14" s="6">
        <v>513494</v>
      </c>
      <c r="D14" s="6">
        <v>504449</v>
      </c>
      <c r="E14" s="6">
        <v>9045</v>
      </c>
    </row>
    <row r="15" spans="1:5" ht="15" x14ac:dyDescent="0.25">
      <c r="A15" s="5" t="s">
        <v>15</v>
      </c>
      <c r="B15" s="6">
        <v>1070405</v>
      </c>
      <c r="C15" s="6">
        <v>345505</v>
      </c>
      <c r="D15" s="6">
        <v>316218</v>
      </c>
      <c r="E15" s="6">
        <v>29287</v>
      </c>
    </row>
    <row r="16" spans="1:5" ht="15" x14ac:dyDescent="0.25">
      <c r="A16" s="5" t="s">
        <v>16</v>
      </c>
      <c r="B16" s="6">
        <v>246801</v>
      </c>
      <c r="C16" s="6">
        <v>76096</v>
      </c>
      <c r="D16" s="6">
        <v>11766</v>
      </c>
      <c r="E16" s="6">
        <v>64330</v>
      </c>
    </row>
    <row r="17" spans="1:5" ht="15" x14ac:dyDescent="0.25">
      <c r="A17" s="5" t="s">
        <v>17</v>
      </c>
      <c r="B17" s="6">
        <v>265082</v>
      </c>
      <c r="C17" s="6">
        <v>118569</v>
      </c>
      <c r="D17" s="6">
        <v>75933</v>
      </c>
      <c r="E17" s="6">
        <v>42636</v>
      </c>
    </row>
    <row r="18" spans="1:5" ht="15" x14ac:dyDescent="0.25">
      <c r="A18" s="5" t="s">
        <v>18</v>
      </c>
      <c r="B18" s="6">
        <v>4624835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2291457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31710</v>
      </c>
      <c r="C20" s="6">
        <v>3947</v>
      </c>
      <c r="D20" s="6" t="s">
        <v>8</v>
      </c>
      <c r="E20" s="6">
        <v>3947</v>
      </c>
    </row>
    <row r="21" spans="1:5" ht="15" x14ac:dyDescent="0.25">
      <c r="A21" s="5" t="s">
        <v>21</v>
      </c>
      <c r="B21" s="6">
        <v>413993</v>
      </c>
      <c r="C21" s="6">
        <v>155179</v>
      </c>
      <c r="D21" s="6">
        <v>27583</v>
      </c>
      <c r="E21" s="6">
        <v>127596</v>
      </c>
    </row>
    <row r="22" spans="1:5" ht="15" x14ac:dyDescent="0.25">
      <c r="A22" s="5" t="s">
        <v>22</v>
      </c>
      <c r="B22" s="6">
        <v>408637</v>
      </c>
      <c r="C22" s="6">
        <v>98487</v>
      </c>
      <c r="D22" s="6">
        <v>98487</v>
      </c>
      <c r="E22" s="6">
        <v>0</v>
      </c>
    </row>
    <row r="23" spans="1:5" ht="15" x14ac:dyDescent="0.25">
      <c r="A23" s="5" t="s">
        <v>23</v>
      </c>
      <c r="B23" s="6">
        <v>3037644</v>
      </c>
      <c r="C23" s="6">
        <v>855579</v>
      </c>
      <c r="D23" s="6">
        <v>751967</v>
      </c>
      <c r="E23" s="6">
        <v>103612</v>
      </c>
    </row>
    <row r="24" spans="1:5" ht="15" x14ac:dyDescent="0.25">
      <c r="A24" s="5" t="s">
        <v>24</v>
      </c>
      <c r="B24" s="6">
        <v>1713811</v>
      </c>
      <c r="C24" s="6">
        <v>477602</v>
      </c>
      <c r="D24" s="6">
        <v>477602</v>
      </c>
      <c r="E24" s="6">
        <v>0</v>
      </c>
    </row>
    <row r="25" spans="1:5" ht="15" x14ac:dyDescent="0.25">
      <c r="A25" s="5" t="s">
        <v>25</v>
      </c>
      <c r="B25" s="6">
        <v>697482</v>
      </c>
      <c r="C25" s="6">
        <v>217298</v>
      </c>
      <c r="D25" s="6">
        <v>183932</v>
      </c>
      <c r="E25" s="6">
        <v>33366</v>
      </c>
    </row>
    <row r="26" spans="1:5" ht="15" x14ac:dyDescent="0.25">
      <c r="A26" s="5" t="s">
        <v>26</v>
      </c>
      <c r="B26" s="6">
        <v>406371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1563796</v>
      </c>
      <c r="C27" s="6">
        <v>655281</v>
      </c>
      <c r="D27" s="6">
        <v>655281</v>
      </c>
      <c r="E27" s="6">
        <v>0</v>
      </c>
    </row>
    <row r="28" spans="1:5" ht="15" x14ac:dyDescent="0.25">
      <c r="A28" s="5" t="s">
        <v>28</v>
      </c>
      <c r="B28" s="6">
        <v>1851817</v>
      </c>
      <c r="C28" s="6">
        <v>625802</v>
      </c>
      <c r="D28" s="6">
        <v>625802</v>
      </c>
      <c r="E28" s="6">
        <v>0</v>
      </c>
    </row>
    <row r="29" spans="1:5" ht="15" x14ac:dyDescent="0.25">
      <c r="A29" s="5" t="s">
        <v>29</v>
      </c>
      <c r="B29" s="6">
        <v>340714</v>
      </c>
      <c r="C29" s="6">
        <v>79721</v>
      </c>
      <c r="D29" s="6">
        <v>62488</v>
      </c>
      <c r="E29" s="6">
        <v>17233</v>
      </c>
    </row>
    <row r="30" spans="1:5" ht="15" x14ac:dyDescent="0.25">
      <c r="A30" s="5" t="s">
        <v>30</v>
      </c>
      <c r="B30" s="6">
        <v>1419380</v>
      </c>
      <c r="C30" s="6">
        <v>380891</v>
      </c>
      <c r="D30" s="6">
        <v>380891</v>
      </c>
      <c r="E30" s="6">
        <v>0</v>
      </c>
    </row>
    <row r="31" spans="1:5" ht="15" x14ac:dyDescent="0.25">
      <c r="A31" s="5" t="s">
        <v>31</v>
      </c>
      <c r="B31" s="6">
        <v>1858959</v>
      </c>
      <c r="C31" s="6">
        <v>404447</v>
      </c>
      <c r="D31" s="6">
        <v>0</v>
      </c>
      <c r="E31" s="6">
        <v>404447</v>
      </c>
    </row>
    <row r="32" spans="1:5" ht="15" x14ac:dyDescent="0.25">
      <c r="A32" s="5" t="s">
        <v>32</v>
      </c>
      <c r="B32" s="6">
        <v>2787647</v>
      </c>
      <c r="C32" s="6">
        <v>899683</v>
      </c>
      <c r="D32" s="6">
        <v>843895</v>
      </c>
      <c r="E32" s="6">
        <v>55788</v>
      </c>
    </row>
    <row r="33" spans="1:5" ht="15" x14ac:dyDescent="0.25">
      <c r="A33" s="5" t="s">
        <v>33</v>
      </c>
      <c r="B33" s="6">
        <v>1209970</v>
      </c>
      <c r="C33" s="6">
        <v>242913</v>
      </c>
      <c r="D33" s="6">
        <v>242913</v>
      </c>
      <c r="E33" s="6">
        <v>0</v>
      </c>
    </row>
    <row r="34" spans="1:5" ht="15" x14ac:dyDescent="0.25">
      <c r="A34" s="5" t="s">
        <v>34</v>
      </c>
      <c r="B34" s="6">
        <v>758730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1038936</v>
      </c>
      <c r="C35" s="6" t="s">
        <v>8</v>
      </c>
      <c r="D35" s="6" t="s">
        <v>8</v>
      </c>
      <c r="E35" s="6" t="s">
        <v>8</v>
      </c>
    </row>
    <row r="36" spans="1:5" ht="15" x14ac:dyDescent="0.25">
      <c r="A36" s="5" t="s">
        <v>36</v>
      </c>
      <c r="B36" s="6">
        <v>272223</v>
      </c>
      <c r="C36" s="6">
        <v>104639</v>
      </c>
      <c r="D36" s="6">
        <v>104639</v>
      </c>
      <c r="E36" s="6">
        <v>0</v>
      </c>
    </row>
    <row r="37" spans="1:5" ht="15" x14ac:dyDescent="0.25">
      <c r="A37" s="5" t="s">
        <v>37</v>
      </c>
      <c r="B37" s="6">
        <v>16054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317402</v>
      </c>
      <c r="C38" s="6">
        <v>37817</v>
      </c>
      <c r="D38" s="6">
        <v>37053</v>
      </c>
      <c r="E38" s="6">
        <v>764</v>
      </c>
    </row>
    <row r="39" spans="1:5" ht="15" x14ac:dyDescent="0.25">
      <c r="A39" s="5" t="s">
        <v>39</v>
      </c>
      <c r="B39" s="6">
        <v>737232</v>
      </c>
      <c r="C39" s="6">
        <v>291758</v>
      </c>
      <c r="D39" s="6">
        <v>291758</v>
      </c>
      <c r="E39" s="6">
        <v>0</v>
      </c>
    </row>
    <row r="40" spans="1:5" ht="15" x14ac:dyDescent="0.25">
      <c r="A40" s="5" t="s">
        <v>40</v>
      </c>
      <c r="B40" s="6">
        <v>214850</v>
      </c>
      <c r="C40" s="6">
        <v>74709</v>
      </c>
      <c r="D40" s="6">
        <v>74303</v>
      </c>
      <c r="E40" s="6">
        <v>406</v>
      </c>
    </row>
    <row r="41" spans="1:5" ht="15" x14ac:dyDescent="0.25">
      <c r="A41" s="5" t="s">
        <v>41</v>
      </c>
      <c r="B41" s="6">
        <v>1843592</v>
      </c>
      <c r="C41" s="6">
        <v>662877</v>
      </c>
      <c r="D41" s="6">
        <v>662877</v>
      </c>
      <c r="E41" s="6">
        <v>0</v>
      </c>
    </row>
    <row r="42" spans="1:5" ht="15" x14ac:dyDescent="0.25">
      <c r="A42" s="5" t="s">
        <v>42</v>
      </c>
      <c r="B42" s="6">
        <v>922287</v>
      </c>
      <c r="C42" s="6">
        <v>287706</v>
      </c>
      <c r="D42" s="6">
        <v>287706</v>
      </c>
      <c r="E42" s="6">
        <v>0</v>
      </c>
    </row>
    <row r="43" spans="1:5" ht="15" x14ac:dyDescent="0.25">
      <c r="A43" s="5" t="s">
        <v>43</v>
      </c>
      <c r="B43" s="6">
        <v>6919009</v>
      </c>
      <c r="C43" s="6">
        <v>2316671</v>
      </c>
      <c r="D43" s="6">
        <v>408121</v>
      </c>
      <c r="E43" s="6">
        <v>1908550</v>
      </c>
    </row>
    <row r="44" spans="1:5" ht="15" x14ac:dyDescent="0.25">
      <c r="A44" s="5" t="s">
        <v>44</v>
      </c>
      <c r="B44" s="6">
        <v>2473267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112458</v>
      </c>
      <c r="C45" s="6">
        <v>25841</v>
      </c>
      <c r="D45" s="6">
        <v>24462</v>
      </c>
      <c r="E45" s="6">
        <v>1379</v>
      </c>
    </row>
    <row r="46" spans="1:5" ht="15" x14ac:dyDescent="0.25">
      <c r="A46" s="5" t="s">
        <v>46</v>
      </c>
      <c r="B46" s="6">
        <v>3215830</v>
      </c>
      <c r="C46" s="6">
        <v>720460</v>
      </c>
      <c r="D46" s="6">
        <v>720198</v>
      </c>
      <c r="E46" s="6">
        <v>262</v>
      </c>
    </row>
    <row r="47" spans="1:5" ht="15" x14ac:dyDescent="0.25">
      <c r="A47" s="5" t="s">
        <v>47</v>
      </c>
      <c r="B47" s="6">
        <v>814348</v>
      </c>
      <c r="C47" s="6" t="s">
        <v>8</v>
      </c>
      <c r="D47" s="6" t="s">
        <v>8</v>
      </c>
      <c r="E47" s="6" t="s">
        <v>8</v>
      </c>
    </row>
    <row r="48" spans="1:5" ht="15" x14ac:dyDescent="0.25">
      <c r="A48" s="5" t="s">
        <v>48</v>
      </c>
      <c r="B48" s="6">
        <v>1150480</v>
      </c>
      <c r="C48" s="6">
        <v>608472</v>
      </c>
      <c r="D48" s="6">
        <v>513183</v>
      </c>
      <c r="E48" s="6">
        <v>95289</v>
      </c>
    </row>
    <row r="49" spans="1:5" ht="15" x14ac:dyDescent="0.25">
      <c r="A49" s="5" t="s">
        <v>49</v>
      </c>
      <c r="B49" s="6">
        <v>3240190</v>
      </c>
      <c r="C49" s="6">
        <v>1007766</v>
      </c>
      <c r="D49" s="6">
        <v>956958</v>
      </c>
      <c r="E49" s="6">
        <v>50808</v>
      </c>
    </row>
    <row r="50" spans="1:5" ht="15" x14ac:dyDescent="0.25">
      <c r="A50" s="5" t="s">
        <v>50</v>
      </c>
      <c r="B50" s="6">
        <v>1401677</v>
      </c>
      <c r="C50" s="6">
        <v>572403</v>
      </c>
      <c r="D50" s="6" t="s">
        <v>8</v>
      </c>
      <c r="E50" s="6">
        <v>572403</v>
      </c>
    </row>
    <row r="51" spans="1:5" ht="15" x14ac:dyDescent="0.25">
      <c r="A51" s="5" t="s">
        <v>51</v>
      </c>
      <c r="B51" s="6">
        <v>326946</v>
      </c>
      <c r="C51" s="6">
        <v>85538</v>
      </c>
      <c r="D51" s="6">
        <v>85538</v>
      </c>
      <c r="E51" s="6">
        <v>0</v>
      </c>
    </row>
    <row r="52" spans="1:5" ht="15" x14ac:dyDescent="0.25">
      <c r="A52" s="5" t="s">
        <v>52</v>
      </c>
      <c r="B52" s="6">
        <v>1404880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118345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1690798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5034334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413805</v>
      </c>
      <c r="C56" s="6">
        <v>88792</v>
      </c>
      <c r="D56" s="6">
        <v>88005</v>
      </c>
      <c r="E56" s="6">
        <v>787</v>
      </c>
    </row>
    <row r="57" spans="1:5" ht="15" x14ac:dyDescent="0.25">
      <c r="A57" s="5" t="s">
        <v>57</v>
      </c>
      <c r="B57" s="6">
        <v>187005</v>
      </c>
      <c r="C57" s="6">
        <v>69227</v>
      </c>
      <c r="D57" s="6">
        <v>0</v>
      </c>
      <c r="E57" s="6">
        <v>69227</v>
      </c>
    </row>
    <row r="58" spans="1:5" ht="15" x14ac:dyDescent="0.25">
      <c r="A58" s="5" t="s">
        <v>58</v>
      </c>
      <c r="B58" s="6">
        <v>33742</v>
      </c>
      <c r="C58" s="6">
        <v>16392</v>
      </c>
      <c r="D58" s="6" t="s">
        <v>8</v>
      </c>
      <c r="E58" s="6">
        <v>16392</v>
      </c>
    </row>
    <row r="59" spans="1:5" ht="15" x14ac:dyDescent="0.25">
      <c r="A59" s="5" t="s">
        <v>59</v>
      </c>
      <c r="B59" s="6">
        <v>1628611</v>
      </c>
      <c r="C59" s="6">
        <v>529001</v>
      </c>
      <c r="D59" s="6">
        <v>529001</v>
      </c>
      <c r="E59" s="6">
        <v>0</v>
      </c>
    </row>
    <row r="60" spans="1:5" ht="15" x14ac:dyDescent="0.25">
      <c r="A60" s="5" t="s">
        <v>60</v>
      </c>
      <c r="B60" s="6">
        <v>1945616</v>
      </c>
      <c r="C60" s="6">
        <v>703381</v>
      </c>
      <c r="D60" s="6">
        <v>687629</v>
      </c>
      <c r="E60" s="6">
        <v>15752</v>
      </c>
    </row>
    <row r="61" spans="1:5" ht="15" x14ac:dyDescent="0.25">
      <c r="A61" s="5" t="s">
        <v>61</v>
      </c>
      <c r="B61" s="6">
        <v>590520</v>
      </c>
      <c r="C61" s="6">
        <v>202643</v>
      </c>
      <c r="D61" s="6">
        <v>202643</v>
      </c>
      <c r="E61" s="6">
        <v>0</v>
      </c>
    </row>
    <row r="62" spans="1:5" ht="15" x14ac:dyDescent="0.25">
      <c r="A62" s="5" t="s">
        <v>62</v>
      </c>
      <c r="B62" s="6">
        <v>1386962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66976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85910366</v>
      </c>
      <c r="C64" s="8">
        <f>SUM(C8:C63)</f>
        <v>19782431</v>
      </c>
      <c r="D64" s="8">
        <f>SUM(D8:D63)</f>
        <v>15731381</v>
      </c>
      <c r="E64" s="8">
        <f>SUM(E8:E63)</f>
        <v>4051050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143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March 16, 2022 3:26 PM&amp;R&amp;"-,Regular"&amp;7Page : &amp;"-,Regular"&amp;7&amp;P&amp;"-,Regular"&amp;7 of &amp;"-,Regular"&amp;7&amp;N</oddFooter>
    <evenFooter>&amp;L&amp;"-,Regular"&amp;7Created On: Wednesday, March 16, 2022 3:26 PM&amp;R&amp;"-,Regular"&amp;7Page : &amp;"-,Regular"&amp;7&amp;P&amp;"-,Regular"&amp;7 of &amp;"-,Regular"&amp;7&amp;N</evenFooter>
    <firstFooter>&amp;L&amp;"-,Regular"&amp;7Created On: Wednesday, March 16, 2022 3:26 PM&amp;R&amp;"-,Regular"&amp;7Page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E456-E6EF-4E5B-A076-A11BF749CE48}">
  <sheetPr>
    <pageSetUpPr fitToPage="1"/>
  </sheetPr>
  <dimension ref="A1:E89"/>
  <sheetViews>
    <sheetView workbookViewId="0">
      <pane ySplit="7" topLeftCell="A65" activePane="bottomLeft" state="frozenSplit"/>
      <selection activeCell="C89" sqref="C89"/>
      <selection pane="bottomLeft" activeCell="O85" sqref="O8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147</v>
      </c>
      <c r="B2" s="2"/>
      <c r="C2" s="2"/>
      <c r="D2" s="2"/>
      <c r="E2" s="2"/>
    </row>
    <row r="3" spans="1:5" ht="15" x14ac:dyDescent="0.25">
      <c r="A3" s="2" t="s">
        <v>146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1174028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239859</v>
      </c>
      <c r="C9" s="6">
        <v>66549</v>
      </c>
      <c r="D9" s="6">
        <v>66549</v>
      </c>
      <c r="E9" s="6">
        <v>0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2162538</v>
      </c>
      <c r="C11" s="6">
        <v>588524</v>
      </c>
      <c r="D11" s="6">
        <v>183122</v>
      </c>
      <c r="E11" s="6">
        <v>405402</v>
      </c>
    </row>
    <row r="12" spans="1:5" ht="15" x14ac:dyDescent="0.25">
      <c r="A12" s="5" t="s">
        <v>12</v>
      </c>
      <c r="B12" s="6">
        <v>946058</v>
      </c>
      <c r="C12" s="6">
        <v>320751</v>
      </c>
      <c r="D12" s="6">
        <v>317152</v>
      </c>
      <c r="E12" s="6">
        <v>3599</v>
      </c>
    </row>
    <row r="13" spans="1:5" ht="15" x14ac:dyDescent="0.25">
      <c r="A13" s="5" t="s">
        <v>13</v>
      </c>
      <c r="B13" s="6">
        <v>13580443</v>
      </c>
      <c r="C13" s="6">
        <v>4335822</v>
      </c>
      <c r="D13" s="6">
        <v>4307192</v>
      </c>
      <c r="E13" s="6">
        <v>28630</v>
      </c>
    </row>
    <row r="14" spans="1:5" ht="15" x14ac:dyDescent="0.25">
      <c r="A14" s="5" t="s">
        <v>14</v>
      </c>
      <c r="B14" s="6">
        <v>1471796</v>
      </c>
      <c r="C14" s="6">
        <v>521577</v>
      </c>
      <c r="D14" s="6">
        <v>512080</v>
      </c>
      <c r="E14" s="6">
        <v>9497</v>
      </c>
    </row>
    <row r="15" spans="1:5" ht="15" x14ac:dyDescent="0.25">
      <c r="A15" s="5" t="s">
        <v>15</v>
      </c>
      <c r="B15" s="6">
        <v>1050445</v>
      </c>
      <c r="C15" s="6">
        <v>356938</v>
      </c>
      <c r="D15" s="6">
        <v>327542</v>
      </c>
      <c r="E15" s="6">
        <v>29396</v>
      </c>
    </row>
    <row r="16" spans="1:5" ht="15" x14ac:dyDescent="0.25">
      <c r="A16" s="5" t="s">
        <v>16</v>
      </c>
      <c r="B16" s="6">
        <v>249163</v>
      </c>
      <c r="C16" s="6">
        <v>76877</v>
      </c>
      <c r="D16" s="6">
        <v>11930</v>
      </c>
      <c r="E16" s="6">
        <v>64947</v>
      </c>
    </row>
    <row r="17" spans="1:5" ht="15" x14ac:dyDescent="0.25">
      <c r="A17" s="5" t="s">
        <v>17</v>
      </c>
      <c r="B17" s="6">
        <v>266334</v>
      </c>
      <c r="C17" s="6">
        <v>119460</v>
      </c>
      <c r="D17" s="6">
        <v>76628</v>
      </c>
      <c r="E17" s="6">
        <v>42832</v>
      </c>
    </row>
    <row r="18" spans="1:5" ht="15" x14ac:dyDescent="0.25">
      <c r="A18" s="5" t="s">
        <v>18</v>
      </c>
      <c r="B18" s="6">
        <v>4744818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2287973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34044</v>
      </c>
      <c r="C20" s="6">
        <v>4045</v>
      </c>
      <c r="D20" s="6" t="s">
        <v>8</v>
      </c>
      <c r="E20" s="6">
        <v>4045</v>
      </c>
    </row>
    <row r="21" spans="1:5" ht="15" x14ac:dyDescent="0.25">
      <c r="A21" s="5" t="s">
        <v>21</v>
      </c>
      <c r="B21" s="6">
        <v>417794</v>
      </c>
      <c r="C21" s="6">
        <v>157550</v>
      </c>
      <c r="D21" s="6">
        <v>27963</v>
      </c>
      <c r="E21" s="6">
        <v>129587</v>
      </c>
    </row>
    <row r="22" spans="1:5" ht="15" x14ac:dyDescent="0.25">
      <c r="A22" s="5" t="s">
        <v>22</v>
      </c>
      <c r="B22" s="6">
        <v>416972</v>
      </c>
      <c r="C22" s="6">
        <v>101847</v>
      </c>
      <c r="D22" s="6">
        <v>101847</v>
      </c>
      <c r="E22" s="6">
        <v>0</v>
      </c>
    </row>
    <row r="23" spans="1:5" ht="15" x14ac:dyDescent="0.25">
      <c r="A23" s="5" t="s">
        <v>23</v>
      </c>
      <c r="B23" s="6">
        <v>3059760</v>
      </c>
      <c r="C23" s="6">
        <v>863855</v>
      </c>
      <c r="D23" s="6">
        <v>760520</v>
      </c>
      <c r="E23" s="6">
        <v>103335</v>
      </c>
    </row>
    <row r="24" spans="1:5" ht="15" x14ac:dyDescent="0.25">
      <c r="A24" s="5" t="s">
        <v>24</v>
      </c>
      <c r="B24" s="6">
        <v>1753814</v>
      </c>
      <c r="C24" s="6">
        <v>486677</v>
      </c>
      <c r="D24" s="6">
        <v>486677</v>
      </c>
      <c r="E24" s="6">
        <v>0</v>
      </c>
    </row>
    <row r="25" spans="1:5" ht="15" x14ac:dyDescent="0.25">
      <c r="A25" s="5" t="s">
        <v>25</v>
      </c>
      <c r="B25" s="6">
        <v>702374</v>
      </c>
      <c r="C25" s="6">
        <v>219821</v>
      </c>
      <c r="D25" s="6">
        <v>185384</v>
      </c>
      <c r="E25" s="6">
        <v>34437</v>
      </c>
    </row>
    <row r="26" spans="1:5" ht="15" x14ac:dyDescent="0.25">
      <c r="A26" s="5" t="s">
        <v>26</v>
      </c>
      <c r="B26" s="6">
        <v>408420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1559136</v>
      </c>
      <c r="C27" s="6">
        <v>646509</v>
      </c>
      <c r="D27" s="6">
        <v>646509</v>
      </c>
      <c r="E27" s="6">
        <v>0</v>
      </c>
    </row>
    <row r="28" spans="1:5" ht="15" x14ac:dyDescent="0.25">
      <c r="A28" s="5" t="s">
        <v>28</v>
      </c>
      <c r="B28" s="6">
        <v>1868422</v>
      </c>
      <c r="C28" s="6">
        <v>632480</v>
      </c>
      <c r="D28" s="6">
        <v>632480</v>
      </c>
      <c r="E28" s="6">
        <v>0</v>
      </c>
    </row>
    <row r="29" spans="1:5" ht="15" x14ac:dyDescent="0.25">
      <c r="A29" s="5" t="s">
        <v>29</v>
      </c>
      <c r="B29" s="6">
        <v>344232</v>
      </c>
      <c r="C29" s="6">
        <v>82113</v>
      </c>
      <c r="D29" s="6">
        <v>64290</v>
      </c>
      <c r="E29" s="6">
        <v>17823</v>
      </c>
    </row>
    <row r="30" spans="1:5" ht="15" x14ac:dyDescent="0.25">
      <c r="A30" s="5" t="s">
        <v>30</v>
      </c>
      <c r="B30" s="6">
        <v>1429808</v>
      </c>
      <c r="C30" s="6">
        <v>385994</v>
      </c>
      <c r="D30" s="6">
        <v>385994</v>
      </c>
      <c r="E30" s="6">
        <v>0</v>
      </c>
    </row>
    <row r="31" spans="1:5" ht="15" x14ac:dyDescent="0.25">
      <c r="A31" s="5" t="s">
        <v>31</v>
      </c>
      <c r="B31" s="6">
        <v>1869843</v>
      </c>
      <c r="C31" s="6">
        <v>408326</v>
      </c>
      <c r="D31" s="6">
        <v>0</v>
      </c>
      <c r="E31" s="6">
        <v>408326</v>
      </c>
    </row>
    <row r="32" spans="1:5" ht="15" x14ac:dyDescent="0.25">
      <c r="A32" s="5" t="s">
        <v>32</v>
      </c>
      <c r="B32" s="6">
        <v>2804067</v>
      </c>
      <c r="C32" s="6">
        <v>908589</v>
      </c>
      <c r="D32" s="6">
        <v>850139</v>
      </c>
      <c r="E32" s="6">
        <v>58450</v>
      </c>
    </row>
    <row r="33" spans="1:5" ht="15" x14ac:dyDescent="0.25">
      <c r="A33" s="5" t="s">
        <v>33</v>
      </c>
      <c r="B33" s="6">
        <v>1229560</v>
      </c>
      <c r="C33" s="6">
        <v>248797</v>
      </c>
      <c r="D33" s="6">
        <v>248797</v>
      </c>
      <c r="E33" s="6">
        <v>0</v>
      </c>
    </row>
    <row r="34" spans="1:5" ht="15" x14ac:dyDescent="0.25">
      <c r="A34" s="5" t="s">
        <v>34</v>
      </c>
      <c r="B34" s="6">
        <v>763570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1050779</v>
      </c>
      <c r="C35" s="6">
        <v>0</v>
      </c>
      <c r="D35" s="6">
        <v>0</v>
      </c>
      <c r="E35" s="6">
        <v>0</v>
      </c>
    </row>
    <row r="36" spans="1:5" ht="15" x14ac:dyDescent="0.25">
      <c r="A36" s="5" t="s">
        <v>36</v>
      </c>
      <c r="B36" s="6">
        <v>274072</v>
      </c>
      <c r="C36" s="6">
        <v>105451</v>
      </c>
      <c r="D36" s="6">
        <v>105451</v>
      </c>
      <c r="E36" s="6">
        <v>0</v>
      </c>
    </row>
    <row r="37" spans="1:5" ht="15" x14ac:dyDescent="0.25">
      <c r="A37" s="5" t="s">
        <v>37</v>
      </c>
      <c r="B37" s="6">
        <v>16580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322682</v>
      </c>
      <c r="C38" s="6">
        <v>41152</v>
      </c>
      <c r="D38" s="6">
        <v>40354</v>
      </c>
      <c r="E38" s="6">
        <v>798</v>
      </c>
    </row>
    <row r="39" spans="1:5" ht="15" x14ac:dyDescent="0.25">
      <c r="A39" s="5" t="s">
        <v>39</v>
      </c>
      <c r="B39" s="6">
        <v>741882</v>
      </c>
      <c r="C39" s="6">
        <v>297691</v>
      </c>
      <c r="D39" s="6">
        <v>297691</v>
      </c>
      <c r="E39" s="6">
        <v>0</v>
      </c>
    </row>
    <row r="40" spans="1:5" ht="15" x14ac:dyDescent="0.25">
      <c r="A40" s="5" t="s">
        <v>40</v>
      </c>
      <c r="B40" s="6">
        <v>216637</v>
      </c>
      <c r="C40" s="6">
        <v>76190</v>
      </c>
      <c r="D40" s="6">
        <v>75776</v>
      </c>
      <c r="E40" s="6">
        <v>414</v>
      </c>
    </row>
    <row r="41" spans="1:5" ht="15" x14ac:dyDescent="0.25">
      <c r="A41" s="5" t="s">
        <v>41</v>
      </c>
      <c r="B41" s="6">
        <v>1859803</v>
      </c>
      <c r="C41" s="6">
        <v>669991</v>
      </c>
      <c r="D41" s="6">
        <v>669991</v>
      </c>
      <c r="E41" s="6">
        <v>0</v>
      </c>
    </row>
    <row r="42" spans="1:5" ht="15" x14ac:dyDescent="0.25">
      <c r="A42" s="5" t="s">
        <v>42</v>
      </c>
      <c r="B42" s="6">
        <v>927086</v>
      </c>
      <c r="C42" s="6">
        <v>288684</v>
      </c>
      <c r="D42" s="6">
        <v>288684</v>
      </c>
      <c r="E42" s="6">
        <v>0</v>
      </c>
    </row>
    <row r="43" spans="1:5" ht="15" x14ac:dyDescent="0.25">
      <c r="A43" s="5" t="s">
        <v>43</v>
      </c>
      <c r="B43" s="6">
        <v>6992993</v>
      </c>
      <c r="C43" s="6">
        <v>2340975</v>
      </c>
      <c r="D43" s="6">
        <v>412711</v>
      </c>
      <c r="E43" s="6">
        <v>1928264</v>
      </c>
    </row>
    <row r="44" spans="1:5" ht="15" x14ac:dyDescent="0.25">
      <c r="A44" s="5" t="s">
        <v>44</v>
      </c>
      <c r="B44" s="6">
        <v>2492274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114730</v>
      </c>
      <c r="C45" s="6">
        <v>27098</v>
      </c>
      <c r="D45" s="6">
        <v>25606</v>
      </c>
      <c r="E45" s="6">
        <v>1492</v>
      </c>
    </row>
    <row r="46" spans="1:5" ht="15" x14ac:dyDescent="0.25">
      <c r="A46" s="5" t="s">
        <v>46</v>
      </c>
      <c r="B46" s="6">
        <v>3228947</v>
      </c>
      <c r="C46" s="6">
        <v>723737</v>
      </c>
      <c r="D46" s="6">
        <v>723479</v>
      </c>
      <c r="E46" s="6">
        <v>258</v>
      </c>
    </row>
    <row r="47" spans="1:5" ht="15" x14ac:dyDescent="0.25">
      <c r="A47" s="5" t="s">
        <v>47</v>
      </c>
      <c r="B47" s="6">
        <v>824326</v>
      </c>
      <c r="C47" s="6">
        <v>0</v>
      </c>
      <c r="D47" s="6">
        <v>0</v>
      </c>
      <c r="E47" s="6">
        <v>0</v>
      </c>
    </row>
    <row r="48" spans="1:5" ht="15" x14ac:dyDescent="0.25">
      <c r="A48" s="5" t="s">
        <v>48</v>
      </c>
      <c r="B48" s="6">
        <v>1158480</v>
      </c>
      <c r="C48" s="6">
        <v>617092</v>
      </c>
      <c r="D48" s="6">
        <v>525788</v>
      </c>
      <c r="E48" s="6">
        <v>91304</v>
      </c>
    </row>
    <row r="49" spans="1:5" ht="15" x14ac:dyDescent="0.25">
      <c r="A49" s="5" t="s">
        <v>49</v>
      </c>
      <c r="B49" s="6">
        <v>3259090</v>
      </c>
      <c r="C49" s="6">
        <v>1018582</v>
      </c>
      <c r="D49" s="6">
        <v>967064</v>
      </c>
      <c r="E49" s="6">
        <v>51518</v>
      </c>
    </row>
    <row r="50" spans="1:5" ht="15" x14ac:dyDescent="0.25">
      <c r="A50" s="5" t="s">
        <v>50</v>
      </c>
      <c r="B50" s="6">
        <v>1409163</v>
      </c>
      <c r="C50" s="6">
        <v>576989</v>
      </c>
      <c r="D50" s="6" t="s">
        <v>8</v>
      </c>
      <c r="E50" s="6">
        <v>576989</v>
      </c>
    </row>
    <row r="51" spans="1:5" ht="15" x14ac:dyDescent="0.25">
      <c r="A51" s="5" t="s">
        <v>51</v>
      </c>
      <c r="B51" s="6">
        <v>329020</v>
      </c>
      <c r="C51" s="6">
        <v>86654</v>
      </c>
      <c r="D51" s="6">
        <v>86654</v>
      </c>
      <c r="E51" s="6">
        <v>0</v>
      </c>
    </row>
    <row r="52" spans="1:5" ht="15" x14ac:dyDescent="0.25">
      <c r="A52" s="5" t="s">
        <v>52</v>
      </c>
      <c r="B52" s="6">
        <v>1416986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119230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1699765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5087462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420076</v>
      </c>
      <c r="C56" s="6">
        <v>91619</v>
      </c>
      <c r="D56" s="6">
        <v>90797</v>
      </c>
      <c r="E56" s="6">
        <v>822</v>
      </c>
    </row>
    <row r="57" spans="1:5" ht="15" x14ac:dyDescent="0.25">
      <c r="A57" s="5" t="s">
        <v>57</v>
      </c>
      <c r="B57" s="6">
        <v>188114</v>
      </c>
      <c r="C57" s="6">
        <v>69918</v>
      </c>
      <c r="D57" s="6">
        <v>0</v>
      </c>
      <c r="E57" s="6">
        <v>69918</v>
      </c>
    </row>
    <row r="58" spans="1:5" ht="15" x14ac:dyDescent="0.25">
      <c r="A58" s="5" t="s">
        <v>58</v>
      </c>
      <c r="B58" s="6">
        <v>34563</v>
      </c>
      <c r="C58" s="6">
        <v>17180</v>
      </c>
      <c r="D58" s="6" t="s">
        <v>8</v>
      </c>
      <c r="E58" s="6">
        <v>17180</v>
      </c>
    </row>
    <row r="59" spans="1:5" ht="15" x14ac:dyDescent="0.25">
      <c r="A59" s="5" t="s">
        <v>59</v>
      </c>
      <c r="B59" s="6">
        <v>1645251</v>
      </c>
      <c r="C59" s="6">
        <v>538660</v>
      </c>
      <c r="D59" s="6">
        <v>538660</v>
      </c>
      <c r="E59" s="6">
        <v>0</v>
      </c>
    </row>
    <row r="60" spans="1:5" ht="15" x14ac:dyDescent="0.25">
      <c r="A60" s="5" t="s">
        <v>60</v>
      </c>
      <c r="B60" s="6">
        <v>1965875</v>
      </c>
      <c r="C60" s="6">
        <v>712913</v>
      </c>
      <c r="D60" s="6">
        <v>696977</v>
      </c>
      <c r="E60" s="6">
        <v>15936</v>
      </c>
    </row>
    <row r="61" spans="1:5" ht="15" x14ac:dyDescent="0.25">
      <c r="A61" s="5" t="s">
        <v>61</v>
      </c>
      <c r="B61" s="6">
        <v>594503</v>
      </c>
      <c r="C61" s="6">
        <v>205154</v>
      </c>
      <c r="D61" s="6">
        <v>205154</v>
      </c>
      <c r="E61" s="6">
        <v>0</v>
      </c>
    </row>
    <row r="62" spans="1:5" ht="15" x14ac:dyDescent="0.25">
      <c r="A62" s="5" t="s">
        <v>62</v>
      </c>
      <c r="B62" s="6">
        <v>1396403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71129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86730928</v>
      </c>
      <c r="C64" s="8">
        <f>SUM(C8:C63)</f>
        <v>20038831</v>
      </c>
      <c r="D64" s="8">
        <f>SUM(D8:D63)</f>
        <v>15943632</v>
      </c>
      <c r="E64" s="8">
        <f>SUM(E8:E63)</f>
        <v>4095199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20, 2022 11:22 AM&amp;R&amp;"-,Regular"&amp;7Page : &amp;"-,Regular"&amp;7&amp;P&amp;"-,Regular"&amp;7 of &amp;"-,Regular"&amp;7&amp;N</oddFooter>
    <evenFooter>&amp;L&amp;"-,Regular"&amp;7Created On: Tuesday, December 20, 2022 11:22 AM&amp;R&amp;"-,Regular"&amp;7Page : &amp;"-,Regular"&amp;7&amp;P&amp;"-,Regular"&amp;7 of &amp;"-,Regular"&amp;7&amp;N</evenFooter>
    <firstFooter>&amp;L&amp;"-,Regular"&amp;7Created On: Tuesday, December 20, 2022 11:22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91CF-9CD5-4022-B895-D26CDF03288E}">
  <sheetPr>
    <pageSetUpPr fitToPage="1"/>
  </sheetPr>
  <dimension ref="A1:E89"/>
  <sheetViews>
    <sheetView workbookViewId="0">
      <pane ySplit="7" topLeftCell="A65" activePane="bottomLeft" state="frozenSplit"/>
      <selection activeCell="C89" sqref="C89"/>
      <selection pane="bottomLeft" activeCell="C89" sqref="C8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148</v>
      </c>
      <c r="B2" s="2"/>
      <c r="C2" s="2"/>
      <c r="D2" s="2"/>
      <c r="E2" s="2"/>
    </row>
    <row r="3" spans="1:5" ht="15" x14ac:dyDescent="0.25">
      <c r="A3" s="2" t="s">
        <v>146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1180988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240570</v>
      </c>
      <c r="C9" s="6">
        <v>66959</v>
      </c>
      <c r="D9" s="6">
        <v>66959</v>
      </c>
      <c r="E9" s="6">
        <v>0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2177911</v>
      </c>
      <c r="C11" s="6">
        <v>597205</v>
      </c>
      <c r="D11" s="6">
        <v>184969</v>
      </c>
      <c r="E11" s="6">
        <v>412236</v>
      </c>
    </row>
    <row r="12" spans="1:5" ht="15" x14ac:dyDescent="0.25">
      <c r="A12" s="5" t="s">
        <v>12</v>
      </c>
      <c r="B12" s="6">
        <v>951191</v>
      </c>
      <c r="C12" s="6">
        <v>322419</v>
      </c>
      <c r="D12" s="6">
        <v>316478</v>
      </c>
      <c r="E12" s="6">
        <v>5941</v>
      </c>
    </row>
    <row r="13" spans="1:5" ht="15" x14ac:dyDescent="0.25">
      <c r="A13" s="5" t="s">
        <v>13</v>
      </c>
      <c r="B13" s="6">
        <v>13617430</v>
      </c>
      <c r="C13" s="6">
        <v>4366240</v>
      </c>
      <c r="D13" s="6">
        <v>4337515</v>
      </c>
      <c r="E13" s="6">
        <v>28725</v>
      </c>
    </row>
    <row r="14" spans="1:5" ht="15" x14ac:dyDescent="0.25">
      <c r="A14" s="5" t="s">
        <v>14</v>
      </c>
      <c r="B14" s="6">
        <v>1483771</v>
      </c>
      <c r="C14" s="6">
        <v>528438</v>
      </c>
      <c r="D14" s="6">
        <v>518911</v>
      </c>
      <c r="E14" s="6">
        <v>9527</v>
      </c>
    </row>
    <row r="15" spans="1:5" ht="15" x14ac:dyDescent="0.25">
      <c r="A15" s="5" t="s">
        <v>15</v>
      </c>
      <c r="B15" s="6">
        <v>1092324</v>
      </c>
      <c r="C15" s="6">
        <v>360695</v>
      </c>
      <c r="D15" s="6">
        <v>331357</v>
      </c>
      <c r="E15" s="6">
        <v>29338</v>
      </c>
    </row>
    <row r="16" spans="1:5" ht="15" x14ac:dyDescent="0.25">
      <c r="A16" s="5" t="s">
        <v>16</v>
      </c>
      <c r="B16" s="6">
        <v>250956</v>
      </c>
      <c r="C16" s="6">
        <v>77578</v>
      </c>
      <c r="D16" s="6">
        <v>12086</v>
      </c>
      <c r="E16" s="6">
        <v>65492</v>
      </c>
    </row>
    <row r="17" spans="1:5" ht="15" x14ac:dyDescent="0.25">
      <c r="A17" s="5" t="s">
        <v>17</v>
      </c>
      <c r="B17" s="6">
        <v>267217</v>
      </c>
      <c r="C17" s="6">
        <v>120170</v>
      </c>
      <c r="D17" s="6">
        <v>77265</v>
      </c>
      <c r="E17" s="6">
        <v>42905</v>
      </c>
    </row>
    <row r="18" spans="1:5" ht="15" x14ac:dyDescent="0.25">
      <c r="A18" s="5" t="s">
        <v>18</v>
      </c>
      <c r="B18" s="6">
        <v>4777320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2302122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33554</v>
      </c>
      <c r="C20" s="6">
        <v>3859</v>
      </c>
      <c r="D20" s="6" t="s">
        <v>8</v>
      </c>
      <c r="E20" s="6">
        <v>3859</v>
      </c>
    </row>
    <row r="21" spans="1:5" ht="15" x14ac:dyDescent="0.25">
      <c r="A21" s="5" t="s">
        <v>21</v>
      </c>
      <c r="B21" s="6">
        <v>420676</v>
      </c>
      <c r="C21" s="6">
        <v>159207</v>
      </c>
      <c r="D21" s="6">
        <v>28234</v>
      </c>
      <c r="E21" s="6">
        <v>130973</v>
      </c>
    </row>
    <row r="22" spans="1:5" ht="15" x14ac:dyDescent="0.25">
      <c r="A22" s="5" t="s">
        <v>22</v>
      </c>
      <c r="B22" s="6">
        <v>417793</v>
      </c>
      <c r="C22" s="6">
        <v>102536</v>
      </c>
      <c r="D22" s="6">
        <v>102536</v>
      </c>
      <c r="E22" s="6">
        <v>0</v>
      </c>
    </row>
    <row r="23" spans="1:5" ht="15" x14ac:dyDescent="0.25">
      <c r="A23" s="5" t="s">
        <v>23</v>
      </c>
      <c r="B23" s="6">
        <v>3065386</v>
      </c>
      <c r="C23" s="6">
        <v>866352</v>
      </c>
      <c r="D23" s="6">
        <v>763681</v>
      </c>
      <c r="E23" s="6">
        <v>102671</v>
      </c>
    </row>
    <row r="24" spans="1:5" ht="15" x14ac:dyDescent="0.25">
      <c r="A24" s="5" t="s">
        <v>24</v>
      </c>
      <c r="B24" s="6">
        <v>1763451</v>
      </c>
      <c r="C24" s="6">
        <v>492897</v>
      </c>
      <c r="D24" s="6">
        <v>492897</v>
      </c>
      <c r="E24" s="6">
        <v>0</v>
      </c>
    </row>
    <row r="25" spans="1:5" ht="15" x14ac:dyDescent="0.25">
      <c r="A25" s="5" t="s">
        <v>25</v>
      </c>
      <c r="B25" s="6">
        <v>709236</v>
      </c>
      <c r="C25" s="6">
        <v>223997</v>
      </c>
      <c r="D25" s="6">
        <v>186965</v>
      </c>
      <c r="E25" s="6">
        <v>37032</v>
      </c>
    </row>
    <row r="26" spans="1:5" ht="15" x14ac:dyDescent="0.25">
      <c r="A26" s="5" t="s">
        <v>26</v>
      </c>
      <c r="B26" s="6">
        <v>411069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1566879</v>
      </c>
      <c r="C27" s="6">
        <v>652367</v>
      </c>
      <c r="D27" s="6">
        <v>652367</v>
      </c>
      <c r="E27" s="6">
        <v>0</v>
      </c>
    </row>
    <row r="28" spans="1:5" ht="15" x14ac:dyDescent="0.25">
      <c r="A28" s="5" t="s">
        <v>28</v>
      </c>
      <c r="B28" s="6">
        <v>1875611</v>
      </c>
      <c r="C28" s="6">
        <v>640808</v>
      </c>
      <c r="D28" s="6">
        <v>640808</v>
      </c>
      <c r="E28" s="6">
        <v>0</v>
      </c>
    </row>
    <row r="29" spans="1:5" ht="15" x14ac:dyDescent="0.25">
      <c r="A29" s="5" t="s">
        <v>29</v>
      </c>
      <c r="B29" s="6">
        <v>346447</v>
      </c>
      <c r="C29" s="6">
        <v>83442</v>
      </c>
      <c r="D29" s="6">
        <v>65356</v>
      </c>
      <c r="E29" s="6">
        <v>18086</v>
      </c>
    </row>
    <row r="30" spans="1:5" ht="15" x14ac:dyDescent="0.25">
      <c r="A30" s="5" t="s">
        <v>30</v>
      </c>
      <c r="B30" s="6">
        <v>1436838</v>
      </c>
      <c r="C30" s="6">
        <v>390532</v>
      </c>
      <c r="D30" s="6">
        <v>390532</v>
      </c>
      <c r="E30" s="6">
        <v>0</v>
      </c>
    </row>
    <row r="31" spans="1:5" ht="15" x14ac:dyDescent="0.25">
      <c r="A31" s="5" t="s">
        <v>31</v>
      </c>
      <c r="B31" s="6">
        <v>1889609</v>
      </c>
      <c r="C31" s="6">
        <v>415441</v>
      </c>
      <c r="D31" s="6">
        <v>0</v>
      </c>
      <c r="E31" s="6">
        <v>415441</v>
      </c>
    </row>
    <row r="32" spans="1:5" ht="15" x14ac:dyDescent="0.25">
      <c r="A32" s="5" t="s">
        <v>32</v>
      </c>
      <c r="B32" s="6">
        <v>2815099</v>
      </c>
      <c r="C32" s="6">
        <v>916381</v>
      </c>
      <c r="D32" s="6">
        <v>857507</v>
      </c>
      <c r="E32" s="6">
        <v>58874</v>
      </c>
    </row>
    <row r="33" spans="1:5" ht="15" x14ac:dyDescent="0.25">
      <c r="A33" s="5" t="s">
        <v>33</v>
      </c>
      <c r="B33" s="6">
        <v>1233429</v>
      </c>
      <c r="C33" s="6">
        <v>250783</v>
      </c>
      <c r="D33" s="6">
        <v>250783</v>
      </c>
      <c r="E33" s="6">
        <v>0</v>
      </c>
    </row>
    <row r="34" spans="1:5" ht="15" x14ac:dyDescent="0.25">
      <c r="A34" s="5" t="s">
        <v>34</v>
      </c>
      <c r="B34" s="6">
        <v>768359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1059899</v>
      </c>
      <c r="C35" s="6">
        <v>0</v>
      </c>
      <c r="D35" s="6">
        <v>0</v>
      </c>
      <c r="E35" s="6">
        <v>0</v>
      </c>
    </row>
    <row r="36" spans="1:5" ht="15" x14ac:dyDescent="0.25">
      <c r="A36" s="5" t="s">
        <v>36</v>
      </c>
      <c r="B36" s="6">
        <v>275977</v>
      </c>
      <c r="C36" s="6">
        <v>106259</v>
      </c>
      <c r="D36" s="6">
        <v>106259</v>
      </c>
      <c r="E36" s="6">
        <v>0</v>
      </c>
    </row>
    <row r="37" spans="1:5" ht="15" x14ac:dyDescent="0.25">
      <c r="A37" s="5" t="s">
        <v>37</v>
      </c>
      <c r="B37" s="6">
        <v>16558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326562</v>
      </c>
      <c r="C38" s="6">
        <v>43770</v>
      </c>
      <c r="D38" s="6">
        <v>42888</v>
      </c>
      <c r="E38" s="6">
        <v>882</v>
      </c>
    </row>
    <row r="39" spans="1:5" ht="15" x14ac:dyDescent="0.25">
      <c r="A39" s="5" t="s">
        <v>39</v>
      </c>
      <c r="B39" s="6">
        <v>747802</v>
      </c>
      <c r="C39" s="6">
        <v>301529</v>
      </c>
      <c r="D39" s="6">
        <v>301529</v>
      </c>
      <c r="E39" s="6">
        <v>0</v>
      </c>
    </row>
    <row r="40" spans="1:5" ht="15" x14ac:dyDescent="0.25">
      <c r="A40" s="5" t="s">
        <v>40</v>
      </c>
      <c r="B40" s="6">
        <v>217349</v>
      </c>
      <c r="C40" s="6">
        <v>77299</v>
      </c>
      <c r="D40" s="6">
        <v>76883</v>
      </c>
      <c r="E40" s="6">
        <v>416</v>
      </c>
    </row>
    <row r="41" spans="1:5" ht="15" x14ac:dyDescent="0.25">
      <c r="A41" s="5" t="s">
        <v>41</v>
      </c>
      <c r="B41" s="6">
        <v>1872263</v>
      </c>
      <c r="C41" s="6">
        <v>676200</v>
      </c>
      <c r="D41" s="6">
        <v>676200</v>
      </c>
      <c r="E41" s="6">
        <v>0</v>
      </c>
    </row>
    <row r="42" spans="1:5" ht="15" x14ac:dyDescent="0.25">
      <c r="A42" s="5" t="s">
        <v>42</v>
      </c>
      <c r="B42" s="6">
        <v>930371</v>
      </c>
      <c r="C42" s="6">
        <v>288853</v>
      </c>
      <c r="D42" s="6">
        <v>288853</v>
      </c>
      <c r="E42" s="6">
        <v>0</v>
      </c>
    </row>
    <row r="43" spans="1:5" ht="15" x14ac:dyDescent="0.25">
      <c r="A43" s="5" t="s">
        <v>43</v>
      </c>
      <c r="B43" s="6">
        <v>7017065</v>
      </c>
      <c r="C43" s="6">
        <v>2349621</v>
      </c>
      <c r="D43" s="6">
        <v>414778</v>
      </c>
      <c r="E43" s="6">
        <v>1934843</v>
      </c>
    </row>
    <row r="44" spans="1:5" ht="15" x14ac:dyDescent="0.25">
      <c r="A44" s="5" t="s">
        <v>44</v>
      </c>
      <c r="B44" s="6">
        <v>2511272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113414</v>
      </c>
      <c r="C45" s="6">
        <v>27306</v>
      </c>
      <c r="D45" s="6">
        <v>25816</v>
      </c>
      <c r="E45" s="6">
        <v>1490</v>
      </c>
    </row>
    <row r="46" spans="1:5" ht="15" x14ac:dyDescent="0.25">
      <c r="A46" s="5" t="s">
        <v>46</v>
      </c>
      <c r="B46" s="6">
        <v>3246100</v>
      </c>
      <c r="C46" s="6">
        <v>730357</v>
      </c>
      <c r="D46" s="6">
        <v>730095</v>
      </c>
      <c r="E46" s="6">
        <v>262</v>
      </c>
    </row>
    <row r="47" spans="1:5" ht="15" x14ac:dyDescent="0.25">
      <c r="A47" s="5" t="s">
        <v>47</v>
      </c>
      <c r="B47" s="6">
        <v>834476</v>
      </c>
      <c r="C47" s="6">
        <v>0</v>
      </c>
      <c r="D47" s="6">
        <v>0</v>
      </c>
      <c r="E47" s="6">
        <v>0</v>
      </c>
    </row>
    <row r="48" spans="1:5" ht="15" x14ac:dyDescent="0.25">
      <c r="A48" s="5" t="s">
        <v>48</v>
      </c>
      <c r="B48" s="6">
        <v>1163736</v>
      </c>
      <c r="C48" s="6">
        <v>622787</v>
      </c>
      <c r="D48" s="6">
        <v>531824</v>
      </c>
      <c r="E48" s="6">
        <v>90963</v>
      </c>
    </row>
    <row r="49" spans="1:5" ht="15" x14ac:dyDescent="0.25">
      <c r="A49" s="5" t="s">
        <v>49</v>
      </c>
      <c r="B49" s="6">
        <v>3271725</v>
      </c>
      <c r="C49" s="6">
        <v>1023422</v>
      </c>
      <c r="D49" s="6">
        <v>971328</v>
      </c>
      <c r="E49" s="6">
        <v>52094</v>
      </c>
    </row>
    <row r="50" spans="1:5" ht="15" x14ac:dyDescent="0.25">
      <c r="A50" s="5" t="s">
        <v>50</v>
      </c>
      <c r="B50" s="6">
        <v>1416545</v>
      </c>
      <c r="C50" s="6">
        <v>581093</v>
      </c>
      <c r="D50" s="6" t="s">
        <v>8</v>
      </c>
      <c r="E50" s="6">
        <v>581093</v>
      </c>
    </row>
    <row r="51" spans="1:5" ht="15" x14ac:dyDescent="0.25">
      <c r="A51" s="5" t="s">
        <v>51</v>
      </c>
      <c r="B51" s="6">
        <v>329712</v>
      </c>
      <c r="C51" s="6">
        <v>87235</v>
      </c>
      <c r="D51" s="6">
        <v>87235</v>
      </c>
      <c r="E51" s="6">
        <v>0</v>
      </c>
    </row>
    <row r="52" spans="1:5" ht="15" x14ac:dyDescent="0.25">
      <c r="A52" s="5" t="s">
        <v>52</v>
      </c>
      <c r="B52" s="6">
        <v>1424580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119932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1708077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5135999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425758</v>
      </c>
      <c r="C56" s="6">
        <v>94186</v>
      </c>
      <c r="D56" s="6">
        <v>93368</v>
      </c>
      <c r="E56" s="6">
        <v>818</v>
      </c>
    </row>
    <row r="57" spans="1:5" ht="15" x14ac:dyDescent="0.25">
      <c r="A57" s="5" t="s">
        <v>57</v>
      </c>
      <c r="B57" s="6">
        <v>189191</v>
      </c>
      <c r="C57" s="6">
        <v>69995</v>
      </c>
      <c r="D57" s="6">
        <v>0</v>
      </c>
      <c r="E57" s="6">
        <v>69995</v>
      </c>
    </row>
    <row r="58" spans="1:5" ht="15" x14ac:dyDescent="0.25">
      <c r="A58" s="5" t="s">
        <v>58</v>
      </c>
      <c r="B58" s="6">
        <v>34000</v>
      </c>
      <c r="C58" s="6">
        <v>16582</v>
      </c>
      <c r="D58" s="6" t="s">
        <v>8</v>
      </c>
      <c r="E58" s="6">
        <v>16582</v>
      </c>
    </row>
    <row r="59" spans="1:5" ht="15" x14ac:dyDescent="0.25">
      <c r="A59" s="5" t="s">
        <v>59</v>
      </c>
      <c r="B59" s="6">
        <v>1659925</v>
      </c>
      <c r="C59" s="6">
        <v>547638</v>
      </c>
      <c r="D59" s="6">
        <v>547638</v>
      </c>
      <c r="E59" s="6">
        <v>0</v>
      </c>
    </row>
    <row r="60" spans="1:5" ht="15" x14ac:dyDescent="0.25">
      <c r="A60" s="5" t="s">
        <v>60</v>
      </c>
      <c r="B60" s="6">
        <v>1976037</v>
      </c>
      <c r="C60" s="6">
        <v>720403</v>
      </c>
      <c r="D60" s="6">
        <v>704590</v>
      </c>
      <c r="E60" s="6">
        <v>15813</v>
      </c>
    </row>
    <row r="61" spans="1:5" ht="15" x14ac:dyDescent="0.25">
      <c r="A61" s="5" t="s">
        <v>61</v>
      </c>
      <c r="B61" s="6">
        <v>597650</v>
      </c>
      <c r="C61" s="6">
        <v>207298</v>
      </c>
      <c r="D61" s="6">
        <v>207298</v>
      </c>
      <c r="E61" s="6">
        <v>0</v>
      </c>
    </row>
    <row r="62" spans="1:5" ht="15" x14ac:dyDescent="0.25">
      <c r="A62" s="5" t="s">
        <v>62</v>
      </c>
      <c r="B62" s="6">
        <v>1405846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71885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87232698</v>
      </c>
      <c r="C64" s="8">
        <f>SUM(C8:C63)</f>
        <v>20210139</v>
      </c>
      <c r="D64" s="8">
        <f>SUM(D8:D63)</f>
        <v>16083788</v>
      </c>
      <c r="E64" s="8">
        <f>SUM(E8:E63)</f>
        <v>4126351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20, 2022 11:22 AM&amp;R&amp;"-,Regular"&amp;7Page : &amp;"-,Regular"&amp;7&amp;P&amp;"-,Regular"&amp;7 of &amp;"-,Regular"&amp;7&amp;N</oddFooter>
    <evenFooter>&amp;L&amp;"-,Regular"&amp;7Created On: Tuesday, December 20, 2022 11:22 AM&amp;R&amp;"-,Regular"&amp;7Page : &amp;"-,Regular"&amp;7&amp;P&amp;"-,Regular"&amp;7 of &amp;"-,Regular"&amp;7&amp;N</evenFooter>
    <firstFooter>&amp;L&amp;"-,Regular"&amp;7Created On: Tuesday, December 20, 2022 11:22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CA72-95DB-4C4C-B010-B3C1FACE3C25}">
  <sheetPr>
    <pageSetUpPr fitToPage="1"/>
  </sheetPr>
  <dimension ref="A1:E89"/>
  <sheetViews>
    <sheetView workbookViewId="0">
      <pane ySplit="7" topLeftCell="A65" activePane="bottomLeft" state="frozenSplit"/>
      <selection activeCell="C89" sqref="C89"/>
      <selection pane="bottomLeft" activeCell="C89" sqref="C8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149</v>
      </c>
      <c r="B2" s="2"/>
      <c r="C2" s="2"/>
      <c r="D2" s="2"/>
      <c r="E2" s="2"/>
    </row>
    <row r="3" spans="1:5" ht="15" x14ac:dyDescent="0.25">
      <c r="A3" s="2" t="s">
        <v>146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1190064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241700</v>
      </c>
      <c r="C9" s="6">
        <v>67277</v>
      </c>
      <c r="D9" s="6">
        <v>67277</v>
      </c>
      <c r="E9" s="6">
        <v>0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2193981</v>
      </c>
      <c r="C11" s="6">
        <v>603409</v>
      </c>
      <c r="D11" s="6">
        <v>185582</v>
      </c>
      <c r="E11" s="6">
        <v>417827</v>
      </c>
    </row>
    <row r="12" spans="1:5" ht="15" x14ac:dyDescent="0.25">
      <c r="A12" s="5" t="s">
        <v>12</v>
      </c>
      <c r="B12" s="6">
        <v>954873</v>
      </c>
      <c r="C12" s="6">
        <v>323041</v>
      </c>
      <c r="D12" s="6">
        <v>316913</v>
      </c>
      <c r="E12" s="6">
        <v>6128</v>
      </c>
    </row>
    <row r="13" spans="1:5" ht="15" x14ac:dyDescent="0.25">
      <c r="A13" s="5" t="s">
        <v>13</v>
      </c>
      <c r="B13" s="6">
        <v>13603756</v>
      </c>
      <c r="C13" s="6">
        <v>4379111</v>
      </c>
      <c r="D13" s="6">
        <v>4350383</v>
      </c>
      <c r="E13" s="6">
        <v>28728</v>
      </c>
    </row>
    <row r="14" spans="1:5" ht="15" x14ac:dyDescent="0.25">
      <c r="A14" s="5" t="s">
        <v>14</v>
      </c>
      <c r="B14" s="6">
        <v>1494930</v>
      </c>
      <c r="C14" s="6">
        <v>539132</v>
      </c>
      <c r="D14" s="6">
        <v>529672</v>
      </c>
      <c r="E14" s="6">
        <v>9460</v>
      </c>
    </row>
    <row r="15" spans="1:5" ht="15" x14ac:dyDescent="0.25">
      <c r="A15" s="5" t="s">
        <v>15</v>
      </c>
      <c r="B15" s="6">
        <v>1096741</v>
      </c>
      <c r="C15" s="6">
        <v>363782</v>
      </c>
      <c r="D15" s="6">
        <v>334552</v>
      </c>
      <c r="E15" s="6">
        <v>29230</v>
      </c>
    </row>
    <row r="16" spans="1:5" ht="15" x14ac:dyDescent="0.25">
      <c r="A16" s="5" t="s">
        <v>16</v>
      </c>
      <c r="B16" s="6">
        <v>252888</v>
      </c>
      <c r="C16" s="6">
        <v>78441</v>
      </c>
      <c r="D16" s="6">
        <v>12251</v>
      </c>
      <c r="E16" s="6">
        <v>66190</v>
      </c>
    </row>
    <row r="17" spans="1:5" ht="15" x14ac:dyDescent="0.25">
      <c r="A17" s="5" t="s">
        <v>17</v>
      </c>
      <c r="B17" s="6">
        <v>268431</v>
      </c>
      <c r="C17" s="6">
        <v>121001</v>
      </c>
      <c r="D17" s="6">
        <v>77998</v>
      </c>
      <c r="E17" s="6">
        <v>43003</v>
      </c>
    </row>
    <row r="18" spans="1:5" ht="15" x14ac:dyDescent="0.25">
      <c r="A18" s="5" t="s">
        <v>18</v>
      </c>
      <c r="B18" s="6">
        <v>4771515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2317901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33537</v>
      </c>
      <c r="C20" s="6">
        <v>3872</v>
      </c>
      <c r="D20" s="6" t="s">
        <v>8</v>
      </c>
      <c r="E20" s="6">
        <v>3872</v>
      </c>
    </row>
    <row r="21" spans="1:5" ht="15" x14ac:dyDescent="0.25">
      <c r="A21" s="5" t="s">
        <v>21</v>
      </c>
      <c r="B21" s="6">
        <v>423045</v>
      </c>
      <c r="C21" s="6">
        <v>160648</v>
      </c>
      <c r="D21" s="6">
        <v>28457</v>
      </c>
      <c r="E21" s="6">
        <v>132191</v>
      </c>
    </row>
    <row r="22" spans="1:5" ht="15" x14ac:dyDescent="0.25">
      <c r="A22" s="5" t="s">
        <v>22</v>
      </c>
      <c r="B22" s="6">
        <v>415064</v>
      </c>
      <c r="C22" s="6">
        <v>101712</v>
      </c>
      <c r="D22" s="6">
        <v>101712</v>
      </c>
      <c r="E22" s="6">
        <v>0</v>
      </c>
    </row>
    <row r="23" spans="1:5" ht="15" x14ac:dyDescent="0.25">
      <c r="A23" s="5" t="s">
        <v>23</v>
      </c>
      <c r="B23" s="6">
        <v>3084602</v>
      </c>
      <c r="C23" s="6">
        <v>872766</v>
      </c>
      <c r="D23" s="6">
        <v>770359</v>
      </c>
      <c r="E23" s="6">
        <v>102407</v>
      </c>
    </row>
    <row r="24" spans="1:5" ht="15" x14ac:dyDescent="0.25">
      <c r="A24" s="5" t="s">
        <v>24</v>
      </c>
      <c r="B24" s="6">
        <v>1768707</v>
      </c>
      <c r="C24" s="6">
        <v>496766</v>
      </c>
      <c r="D24" s="6">
        <v>496766</v>
      </c>
      <c r="E24" s="6">
        <v>0</v>
      </c>
    </row>
    <row r="25" spans="1:5" ht="15" x14ac:dyDescent="0.25">
      <c r="A25" s="5" t="s">
        <v>25</v>
      </c>
      <c r="B25" s="6">
        <v>712396</v>
      </c>
      <c r="C25" s="6">
        <v>226464</v>
      </c>
      <c r="D25" s="6">
        <v>187752</v>
      </c>
      <c r="E25" s="6">
        <v>38712</v>
      </c>
    </row>
    <row r="26" spans="1:5" ht="15" x14ac:dyDescent="0.25">
      <c r="A26" s="5" t="s">
        <v>26</v>
      </c>
      <c r="B26" s="6">
        <v>415152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1571791</v>
      </c>
      <c r="C27" s="6">
        <v>657395</v>
      </c>
      <c r="D27" s="6">
        <v>657395</v>
      </c>
      <c r="E27" s="6">
        <v>0</v>
      </c>
    </row>
    <row r="28" spans="1:5" ht="15" x14ac:dyDescent="0.25">
      <c r="A28" s="5" t="s">
        <v>28</v>
      </c>
      <c r="B28" s="6">
        <v>1880815</v>
      </c>
      <c r="C28" s="6">
        <v>649130</v>
      </c>
      <c r="D28" s="6">
        <v>649130</v>
      </c>
      <c r="E28" s="6">
        <v>0</v>
      </c>
    </row>
    <row r="29" spans="1:5" ht="15" x14ac:dyDescent="0.25">
      <c r="A29" s="5" t="s">
        <v>29</v>
      </c>
      <c r="B29" s="6">
        <v>348349</v>
      </c>
      <c r="C29" s="6">
        <v>84788</v>
      </c>
      <c r="D29" s="6">
        <v>66427</v>
      </c>
      <c r="E29" s="6">
        <v>18361</v>
      </c>
    </row>
    <row r="30" spans="1:5" ht="15" x14ac:dyDescent="0.25">
      <c r="A30" s="5" t="s">
        <v>30</v>
      </c>
      <c r="B30" s="6">
        <v>1444632</v>
      </c>
      <c r="C30" s="6">
        <v>395822</v>
      </c>
      <c r="D30" s="6">
        <v>395822</v>
      </c>
      <c r="E30" s="6">
        <v>0</v>
      </c>
    </row>
    <row r="31" spans="1:5" ht="15" x14ac:dyDescent="0.25">
      <c r="A31" s="5" t="s">
        <v>31</v>
      </c>
      <c r="B31" s="6">
        <v>1895093</v>
      </c>
      <c r="C31" s="6">
        <v>417798</v>
      </c>
      <c r="D31" s="6">
        <v>0</v>
      </c>
      <c r="E31" s="6">
        <v>417798</v>
      </c>
    </row>
    <row r="32" spans="1:5" ht="15" x14ac:dyDescent="0.25">
      <c r="A32" s="5" t="s">
        <v>32</v>
      </c>
      <c r="B32" s="6">
        <v>2822055</v>
      </c>
      <c r="C32" s="6">
        <v>923619</v>
      </c>
      <c r="D32" s="6">
        <v>864323</v>
      </c>
      <c r="E32" s="6">
        <v>59296</v>
      </c>
    </row>
    <row r="33" spans="1:5" ht="15" x14ac:dyDescent="0.25">
      <c r="A33" s="5" t="s">
        <v>33</v>
      </c>
      <c r="B33" s="6">
        <v>1235601</v>
      </c>
      <c r="C33" s="6">
        <v>252557</v>
      </c>
      <c r="D33" s="6">
        <v>252557</v>
      </c>
      <c r="E33" s="6">
        <v>0</v>
      </c>
    </row>
    <row r="34" spans="1:5" ht="15" x14ac:dyDescent="0.25">
      <c r="A34" s="5" t="s">
        <v>34</v>
      </c>
      <c r="B34" s="6">
        <v>772934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1068749</v>
      </c>
      <c r="C35" s="6">
        <v>0</v>
      </c>
      <c r="D35" s="6">
        <v>0</v>
      </c>
      <c r="E35" s="6">
        <v>0</v>
      </c>
    </row>
    <row r="36" spans="1:5" ht="15" x14ac:dyDescent="0.25">
      <c r="A36" s="5" t="s">
        <v>36</v>
      </c>
      <c r="B36" s="6">
        <v>277650</v>
      </c>
      <c r="C36" s="6">
        <v>106946</v>
      </c>
      <c r="D36" s="6">
        <v>106946</v>
      </c>
      <c r="E36" s="6">
        <v>0</v>
      </c>
    </row>
    <row r="37" spans="1:5" ht="15" x14ac:dyDescent="0.25">
      <c r="A37" s="5" t="s">
        <v>37</v>
      </c>
      <c r="B37" s="6">
        <v>16868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329469</v>
      </c>
      <c r="C38" s="6">
        <v>46298</v>
      </c>
      <c r="D38" s="6">
        <v>45332</v>
      </c>
      <c r="E38" s="6">
        <v>966</v>
      </c>
    </row>
    <row r="39" spans="1:5" ht="15" x14ac:dyDescent="0.25">
      <c r="A39" s="5" t="s">
        <v>39</v>
      </c>
      <c r="B39" s="6">
        <v>754507</v>
      </c>
      <c r="C39" s="6">
        <v>305329</v>
      </c>
      <c r="D39" s="6">
        <v>305329</v>
      </c>
      <c r="E39" s="6">
        <v>0</v>
      </c>
    </row>
    <row r="40" spans="1:5" ht="15" x14ac:dyDescent="0.25">
      <c r="A40" s="5" t="s">
        <v>40</v>
      </c>
      <c r="B40" s="6">
        <v>217974</v>
      </c>
      <c r="C40" s="6">
        <v>77947</v>
      </c>
      <c r="D40" s="6">
        <v>77532</v>
      </c>
      <c r="E40" s="6">
        <v>415</v>
      </c>
    </row>
    <row r="41" spans="1:5" ht="15" x14ac:dyDescent="0.25">
      <c r="A41" s="5" t="s">
        <v>41</v>
      </c>
      <c r="B41" s="6">
        <v>1881976</v>
      </c>
      <c r="C41" s="6">
        <v>681383</v>
      </c>
      <c r="D41" s="6">
        <v>681383</v>
      </c>
      <c r="E41" s="6">
        <v>0</v>
      </c>
    </row>
    <row r="42" spans="1:5" ht="15" x14ac:dyDescent="0.25">
      <c r="A42" s="5" t="s">
        <v>42</v>
      </c>
      <c r="B42" s="6">
        <v>933326</v>
      </c>
      <c r="C42" s="6">
        <v>288757</v>
      </c>
      <c r="D42" s="6">
        <v>288757</v>
      </c>
      <c r="E42" s="6">
        <v>0</v>
      </c>
    </row>
    <row r="43" spans="1:5" ht="15" x14ac:dyDescent="0.25">
      <c r="A43" s="5" t="s">
        <v>43</v>
      </c>
      <c r="B43" s="6">
        <v>7048191</v>
      </c>
      <c r="C43" s="6">
        <v>2361370</v>
      </c>
      <c r="D43" s="6">
        <v>417384</v>
      </c>
      <c r="E43" s="6">
        <v>1943986</v>
      </c>
    </row>
    <row r="44" spans="1:5" ht="15" x14ac:dyDescent="0.25">
      <c r="A44" s="5" t="s">
        <v>44</v>
      </c>
      <c r="B44" s="6">
        <v>2532983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116612</v>
      </c>
      <c r="C45" s="6">
        <v>28093</v>
      </c>
      <c r="D45" s="6">
        <v>26537</v>
      </c>
      <c r="E45" s="6">
        <v>1556</v>
      </c>
    </row>
    <row r="46" spans="1:5" ht="15" x14ac:dyDescent="0.25">
      <c r="A46" s="5" t="s">
        <v>46</v>
      </c>
      <c r="B46" s="6">
        <v>3264948</v>
      </c>
      <c r="C46" s="6">
        <v>736865</v>
      </c>
      <c r="D46" s="6">
        <v>736601</v>
      </c>
      <c r="E46" s="6">
        <v>264</v>
      </c>
    </row>
    <row r="47" spans="1:5" ht="15" x14ac:dyDescent="0.25">
      <c r="A47" s="5" t="s">
        <v>47</v>
      </c>
      <c r="B47" s="6">
        <v>842401</v>
      </c>
      <c r="C47" s="6">
        <v>0</v>
      </c>
      <c r="D47" s="6">
        <v>0</v>
      </c>
      <c r="E47" s="6">
        <v>0</v>
      </c>
    </row>
    <row r="48" spans="1:5" ht="15" x14ac:dyDescent="0.25">
      <c r="A48" s="5" t="s">
        <v>48</v>
      </c>
      <c r="B48" s="6">
        <v>1166520</v>
      </c>
      <c r="C48" s="6">
        <v>627337</v>
      </c>
      <c r="D48" s="6">
        <v>536653</v>
      </c>
      <c r="E48" s="6">
        <v>90684</v>
      </c>
    </row>
    <row r="49" spans="1:5" ht="15" x14ac:dyDescent="0.25">
      <c r="A49" s="5" t="s">
        <v>49</v>
      </c>
      <c r="B49" s="6">
        <v>3292313</v>
      </c>
      <c r="C49" s="6">
        <v>1032189</v>
      </c>
      <c r="D49" s="6">
        <v>979527</v>
      </c>
      <c r="E49" s="6">
        <v>52662</v>
      </c>
    </row>
    <row r="50" spans="1:5" ht="15" x14ac:dyDescent="0.25">
      <c r="A50" s="5" t="s">
        <v>50</v>
      </c>
      <c r="B50" s="6">
        <v>1417426</v>
      </c>
      <c r="C50" s="6">
        <v>581643</v>
      </c>
      <c r="D50" s="6" t="s">
        <v>8</v>
      </c>
      <c r="E50" s="6">
        <v>581643</v>
      </c>
    </row>
    <row r="51" spans="1:5" ht="15" x14ac:dyDescent="0.25">
      <c r="A51" s="5" t="s">
        <v>51</v>
      </c>
      <c r="B51" s="6">
        <v>330011</v>
      </c>
      <c r="C51" s="6">
        <v>87972</v>
      </c>
      <c r="D51" s="6">
        <v>87972</v>
      </c>
      <c r="E51" s="6">
        <v>0</v>
      </c>
    </row>
    <row r="52" spans="1:5" ht="15" x14ac:dyDescent="0.25">
      <c r="A52" s="5" t="s">
        <v>52</v>
      </c>
      <c r="B52" s="6">
        <v>1433751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120802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1717359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5185179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431698</v>
      </c>
      <c r="C56" s="6">
        <v>96729</v>
      </c>
      <c r="D56" s="6">
        <v>95876</v>
      </c>
      <c r="E56" s="6">
        <v>853</v>
      </c>
    </row>
    <row r="57" spans="1:5" ht="15" x14ac:dyDescent="0.25">
      <c r="A57" s="5" t="s">
        <v>57</v>
      </c>
      <c r="B57" s="6">
        <v>190494</v>
      </c>
      <c r="C57" s="6">
        <v>70813</v>
      </c>
      <c r="D57" s="6">
        <v>0</v>
      </c>
      <c r="E57" s="6">
        <v>70813</v>
      </c>
    </row>
    <row r="58" spans="1:5" ht="15" x14ac:dyDescent="0.25">
      <c r="A58" s="5" t="s">
        <v>58</v>
      </c>
      <c r="B58" s="6">
        <v>34189</v>
      </c>
      <c r="C58" s="6">
        <v>16695</v>
      </c>
      <c r="D58" s="6" t="s">
        <v>8</v>
      </c>
      <c r="E58" s="6">
        <v>16695</v>
      </c>
    </row>
    <row r="59" spans="1:5" ht="15" x14ac:dyDescent="0.25">
      <c r="A59" s="5" t="s">
        <v>59</v>
      </c>
      <c r="B59" s="6">
        <v>1673723</v>
      </c>
      <c r="C59" s="6">
        <v>555223</v>
      </c>
      <c r="D59" s="6">
        <v>555223</v>
      </c>
      <c r="E59" s="6">
        <v>0</v>
      </c>
    </row>
    <row r="60" spans="1:5" ht="15" x14ac:dyDescent="0.25">
      <c r="A60" s="5" t="s">
        <v>60</v>
      </c>
      <c r="B60" s="6">
        <v>1980123</v>
      </c>
      <c r="C60" s="6">
        <v>725003</v>
      </c>
      <c r="D60" s="6">
        <v>709453</v>
      </c>
      <c r="E60" s="6">
        <v>15550</v>
      </c>
    </row>
    <row r="61" spans="1:5" ht="15" x14ac:dyDescent="0.25">
      <c r="A61" s="5" t="s">
        <v>61</v>
      </c>
      <c r="B61" s="6">
        <v>600874</v>
      </c>
      <c r="C61" s="6">
        <v>209320</v>
      </c>
      <c r="D61" s="6">
        <v>209320</v>
      </c>
      <c r="E61" s="6">
        <v>0</v>
      </c>
    </row>
    <row r="62" spans="1:5" ht="15" x14ac:dyDescent="0.25">
      <c r="A62" s="5" t="s">
        <v>62</v>
      </c>
      <c r="B62" s="6">
        <v>1414621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72714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87595760</v>
      </c>
      <c r="C64" s="8">
        <f>SUM(C8:C63)</f>
        <v>20354443</v>
      </c>
      <c r="D64" s="8">
        <f>SUM(D8:D63)</f>
        <v>16205153</v>
      </c>
      <c r="E64" s="8">
        <f>SUM(E8:E63)</f>
        <v>4149290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20, 2022 11:22 AM&amp;R&amp;"-,Regular"&amp;7Page : &amp;"-,Regular"&amp;7&amp;P&amp;"-,Regular"&amp;7 of &amp;"-,Regular"&amp;7&amp;N</oddFooter>
    <evenFooter>&amp;L&amp;"-,Regular"&amp;7Created On: Tuesday, December 20, 2022 11:22 AM&amp;R&amp;"-,Regular"&amp;7Page : &amp;"-,Regular"&amp;7&amp;P&amp;"-,Regular"&amp;7 of &amp;"-,Regular"&amp;7&amp;N</evenFooter>
    <firstFooter>&amp;L&amp;"-,Regular"&amp;7Created On: Tuesday, December 20, 2022 11:22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BB24-8626-436B-8F84-A12323AAB82C}">
  <sheetPr>
    <pageSetUpPr fitToPage="1"/>
  </sheetPr>
  <dimension ref="A1:E89"/>
  <sheetViews>
    <sheetView workbookViewId="0">
      <pane ySplit="7" topLeftCell="A65" activePane="bottomLeft" state="frozenSplit"/>
      <selection activeCell="C89" sqref="C89"/>
      <selection pane="bottomLeft" activeCell="C89" sqref="C8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150</v>
      </c>
      <c r="B2" s="2"/>
      <c r="C2" s="2"/>
      <c r="D2" s="2"/>
      <c r="E2" s="2"/>
    </row>
    <row r="3" spans="1:5" ht="15" x14ac:dyDescent="0.25">
      <c r="A3" s="2" t="s">
        <v>146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1198510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242176</v>
      </c>
      <c r="C9" s="6">
        <v>67514</v>
      </c>
      <c r="D9" s="6">
        <v>67514</v>
      </c>
      <c r="E9" s="6">
        <v>0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2209576</v>
      </c>
      <c r="C11" s="6">
        <v>612641</v>
      </c>
      <c r="D11" s="6">
        <v>187166</v>
      </c>
      <c r="E11" s="6">
        <v>425475</v>
      </c>
    </row>
    <row r="12" spans="1:5" ht="15" x14ac:dyDescent="0.25">
      <c r="A12" s="5" t="s">
        <v>12</v>
      </c>
      <c r="B12" s="6">
        <v>961997</v>
      </c>
      <c r="C12" s="6">
        <v>325512</v>
      </c>
      <c r="D12" s="6">
        <v>317962</v>
      </c>
      <c r="E12" s="6">
        <v>7550</v>
      </c>
    </row>
    <row r="13" spans="1:5" ht="15" x14ac:dyDescent="0.25">
      <c r="A13" s="5" t="s">
        <v>13</v>
      </c>
      <c r="B13" s="6">
        <v>13771342</v>
      </c>
      <c r="C13" s="6">
        <v>4442911</v>
      </c>
      <c r="D13" s="6">
        <v>4413961</v>
      </c>
      <c r="E13" s="6">
        <v>28950</v>
      </c>
    </row>
    <row r="14" spans="1:5" ht="15" x14ac:dyDescent="0.25">
      <c r="A14" s="5" t="s">
        <v>14</v>
      </c>
      <c r="B14" s="6">
        <v>1506048</v>
      </c>
      <c r="C14" s="6">
        <v>547571</v>
      </c>
      <c r="D14" s="6">
        <v>537757</v>
      </c>
      <c r="E14" s="6">
        <v>9814</v>
      </c>
    </row>
    <row r="15" spans="1:5" ht="15" x14ac:dyDescent="0.25">
      <c r="A15" s="5" t="s">
        <v>15</v>
      </c>
      <c r="B15" s="6">
        <v>1106169</v>
      </c>
      <c r="C15" s="6">
        <v>332791</v>
      </c>
      <c r="D15" s="6">
        <v>303870</v>
      </c>
      <c r="E15" s="6">
        <v>28921</v>
      </c>
    </row>
    <row r="16" spans="1:5" ht="15" x14ac:dyDescent="0.25">
      <c r="A16" s="5" t="s">
        <v>16</v>
      </c>
      <c r="B16" s="6">
        <v>255056</v>
      </c>
      <c r="C16" s="6">
        <v>79084</v>
      </c>
      <c r="D16" s="6">
        <v>12373</v>
      </c>
      <c r="E16" s="6">
        <v>66711</v>
      </c>
    </row>
    <row r="17" spans="1:5" ht="15" x14ac:dyDescent="0.25">
      <c r="A17" s="5" t="s">
        <v>17</v>
      </c>
      <c r="B17" s="6">
        <v>269648</v>
      </c>
      <c r="C17" s="6">
        <v>121851</v>
      </c>
      <c r="D17" s="6">
        <v>78747</v>
      </c>
      <c r="E17" s="6">
        <v>43104</v>
      </c>
    </row>
    <row r="18" spans="1:5" ht="15" x14ac:dyDescent="0.25">
      <c r="A18" s="5" t="s">
        <v>18</v>
      </c>
      <c r="B18" s="6">
        <v>4868694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2335195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37262</v>
      </c>
      <c r="C20" s="6">
        <v>4577</v>
      </c>
      <c r="D20" s="6" t="s">
        <v>8</v>
      </c>
      <c r="E20" s="6">
        <v>4577</v>
      </c>
    </row>
    <row r="21" spans="1:5" ht="15" x14ac:dyDescent="0.25">
      <c r="A21" s="5" t="s">
        <v>21</v>
      </c>
      <c r="B21" s="6">
        <v>426005</v>
      </c>
      <c r="C21" s="6">
        <v>162406</v>
      </c>
      <c r="D21" s="6">
        <v>28677</v>
      </c>
      <c r="E21" s="6">
        <v>133729</v>
      </c>
    </row>
    <row r="22" spans="1:5" ht="15" x14ac:dyDescent="0.25">
      <c r="A22" s="5" t="s">
        <v>22</v>
      </c>
      <c r="B22" s="6">
        <v>420414</v>
      </c>
      <c r="C22" s="6">
        <v>103967</v>
      </c>
      <c r="D22" s="6">
        <v>103967</v>
      </c>
      <c r="E22" s="6">
        <v>0</v>
      </c>
    </row>
    <row r="23" spans="1:5" ht="15" x14ac:dyDescent="0.25">
      <c r="A23" s="5" t="s">
        <v>23</v>
      </c>
      <c r="B23" s="6">
        <v>3106697</v>
      </c>
      <c r="C23" s="6">
        <v>880219</v>
      </c>
      <c r="D23" s="6">
        <v>778028</v>
      </c>
      <c r="E23" s="6">
        <v>102191</v>
      </c>
    </row>
    <row r="24" spans="1:5" ht="15" x14ac:dyDescent="0.25">
      <c r="A24" s="5" t="s">
        <v>24</v>
      </c>
      <c r="B24" s="6">
        <v>1810625</v>
      </c>
      <c r="C24" s="6">
        <v>505762</v>
      </c>
      <c r="D24" s="6">
        <v>505762</v>
      </c>
      <c r="E24" s="6">
        <v>0</v>
      </c>
    </row>
    <row r="25" spans="1:5" ht="15" x14ac:dyDescent="0.25">
      <c r="A25" s="5" t="s">
        <v>25</v>
      </c>
      <c r="B25" s="6">
        <v>716993</v>
      </c>
      <c r="C25" s="6">
        <v>228572</v>
      </c>
      <c r="D25" s="6">
        <v>188658</v>
      </c>
      <c r="E25" s="6">
        <v>39914</v>
      </c>
    </row>
    <row r="26" spans="1:5" ht="15" x14ac:dyDescent="0.25">
      <c r="A26" s="5" t="s">
        <v>26</v>
      </c>
      <c r="B26" s="6">
        <v>418034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1461534</v>
      </c>
      <c r="C27" s="6">
        <v>567714</v>
      </c>
      <c r="D27" s="6">
        <v>567714</v>
      </c>
      <c r="E27" s="6">
        <v>0</v>
      </c>
    </row>
    <row r="28" spans="1:5" ht="15" x14ac:dyDescent="0.25">
      <c r="A28" s="5" t="s">
        <v>28</v>
      </c>
      <c r="B28" s="6">
        <v>1896591</v>
      </c>
      <c r="C28" s="6">
        <v>673676</v>
      </c>
      <c r="D28" s="6">
        <v>673676</v>
      </c>
      <c r="E28" s="6">
        <v>0</v>
      </c>
    </row>
    <row r="29" spans="1:5" ht="15" x14ac:dyDescent="0.25">
      <c r="A29" s="5" t="s">
        <v>29</v>
      </c>
      <c r="B29" s="6">
        <v>351291</v>
      </c>
      <c r="C29" s="6">
        <v>86444</v>
      </c>
      <c r="D29" s="6">
        <v>67829</v>
      </c>
      <c r="E29" s="6">
        <v>18615</v>
      </c>
    </row>
    <row r="30" spans="1:5" ht="15" x14ac:dyDescent="0.25">
      <c r="A30" s="5" t="s">
        <v>30</v>
      </c>
      <c r="B30" s="6">
        <v>1452952</v>
      </c>
      <c r="C30" s="6">
        <v>400869</v>
      </c>
      <c r="D30" s="6">
        <v>400869</v>
      </c>
      <c r="E30" s="6">
        <v>0</v>
      </c>
    </row>
    <row r="31" spans="1:5" ht="15" x14ac:dyDescent="0.25">
      <c r="A31" s="5" t="s">
        <v>31</v>
      </c>
      <c r="B31" s="6">
        <v>1931021</v>
      </c>
      <c r="C31" s="6">
        <v>428404</v>
      </c>
      <c r="D31" s="6">
        <v>0</v>
      </c>
      <c r="E31" s="6">
        <v>428404</v>
      </c>
    </row>
    <row r="32" spans="1:5" ht="15" x14ac:dyDescent="0.25">
      <c r="A32" s="5" t="s">
        <v>32</v>
      </c>
      <c r="B32" s="6">
        <v>2834193</v>
      </c>
      <c r="C32" s="6">
        <v>931339</v>
      </c>
      <c r="D32" s="6">
        <v>872045</v>
      </c>
      <c r="E32" s="6">
        <v>59294</v>
      </c>
    </row>
    <row r="33" spans="1:5" ht="15" x14ac:dyDescent="0.25">
      <c r="A33" s="5" t="s">
        <v>33</v>
      </c>
      <c r="B33" s="6">
        <v>1255481</v>
      </c>
      <c r="C33" s="6">
        <v>258444</v>
      </c>
      <c r="D33" s="6">
        <v>258444</v>
      </c>
      <c r="E33" s="6">
        <v>0</v>
      </c>
    </row>
    <row r="34" spans="1:5" ht="15" x14ac:dyDescent="0.25">
      <c r="A34" s="5" t="s">
        <v>34</v>
      </c>
      <c r="B34" s="6">
        <v>776482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1077150</v>
      </c>
      <c r="C35" s="6">
        <v>0</v>
      </c>
      <c r="D35" s="6">
        <v>0</v>
      </c>
      <c r="E35" s="6">
        <v>0</v>
      </c>
    </row>
    <row r="36" spans="1:5" ht="15" x14ac:dyDescent="0.25">
      <c r="A36" s="5" t="s">
        <v>36</v>
      </c>
      <c r="B36" s="6">
        <v>279514</v>
      </c>
      <c r="C36" s="6">
        <v>107726</v>
      </c>
      <c r="D36" s="6">
        <v>107726</v>
      </c>
      <c r="E36" s="6">
        <v>0</v>
      </c>
    </row>
    <row r="37" spans="1:5" ht="15" x14ac:dyDescent="0.25">
      <c r="A37" s="5" t="s">
        <v>37</v>
      </c>
      <c r="B37" s="6">
        <v>16388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324305</v>
      </c>
      <c r="C38" s="6">
        <v>48664</v>
      </c>
      <c r="D38" s="6">
        <v>47668</v>
      </c>
      <c r="E38" s="6">
        <v>996</v>
      </c>
    </row>
    <row r="39" spans="1:5" ht="15" x14ac:dyDescent="0.25">
      <c r="A39" s="5" t="s">
        <v>39</v>
      </c>
      <c r="B39" s="6">
        <v>759957</v>
      </c>
      <c r="C39" s="6">
        <v>310061</v>
      </c>
      <c r="D39" s="6">
        <v>310061</v>
      </c>
      <c r="E39" s="6">
        <v>0</v>
      </c>
    </row>
    <row r="40" spans="1:5" ht="15" x14ac:dyDescent="0.25">
      <c r="A40" s="5" t="s">
        <v>40</v>
      </c>
      <c r="B40" s="6">
        <v>219137</v>
      </c>
      <c r="C40" s="6">
        <v>78675</v>
      </c>
      <c r="D40" s="6">
        <v>78263</v>
      </c>
      <c r="E40" s="6">
        <v>412</v>
      </c>
    </row>
    <row r="41" spans="1:5" ht="15" x14ac:dyDescent="0.25">
      <c r="A41" s="5" t="s">
        <v>41</v>
      </c>
      <c r="B41" s="6">
        <v>1896546</v>
      </c>
      <c r="C41" s="6">
        <v>687922</v>
      </c>
      <c r="D41" s="6">
        <v>687922</v>
      </c>
      <c r="E41" s="6">
        <v>0</v>
      </c>
    </row>
    <row r="42" spans="1:5" ht="15" x14ac:dyDescent="0.25">
      <c r="A42" s="5" t="s">
        <v>42</v>
      </c>
      <c r="B42" s="6">
        <v>938689</v>
      </c>
      <c r="C42" s="6">
        <v>289304</v>
      </c>
      <c r="D42" s="6">
        <v>289304</v>
      </c>
      <c r="E42" s="6">
        <v>0</v>
      </c>
    </row>
    <row r="43" spans="1:5" ht="15" x14ac:dyDescent="0.25">
      <c r="A43" s="5" t="s">
        <v>43</v>
      </c>
      <c r="B43" s="6">
        <v>7139117</v>
      </c>
      <c r="C43" s="6">
        <v>2379531</v>
      </c>
      <c r="D43" s="6">
        <v>420958</v>
      </c>
      <c r="E43" s="6">
        <v>1958573</v>
      </c>
    </row>
    <row r="44" spans="1:5" ht="15" x14ac:dyDescent="0.25">
      <c r="A44" s="5" t="s">
        <v>44</v>
      </c>
      <c r="B44" s="6">
        <v>2556620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116046</v>
      </c>
      <c r="C45" s="6">
        <v>28477</v>
      </c>
      <c r="D45" s="6">
        <v>26915</v>
      </c>
      <c r="E45" s="6">
        <v>1562</v>
      </c>
    </row>
    <row r="46" spans="1:5" ht="15" x14ac:dyDescent="0.25">
      <c r="A46" s="5" t="s">
        <v>46</v>
      </c>
      <c r="B46" s="6">
        <v>3285250</v>
      </c>
      <c r="C46" s="6">
        <v>747367</v>
      </c>
      <c r="D46" s="6">
        <v>747105</v>
      </c>
      <c r="E46" s="6">
        <v>262</v>
      </c>
    </row>
    <row r="47" spans="1:5" ht="15" x14ac:dyDescent="0.25">
      <c r="A47" s="5" t="s">
        <v>47</v>
      </c>
      <c r="B47" s="6">
        <v>908710</v>
      </c>
      <c r="C47" s="6">
        <v>150866</v>
      </c>
      <c r="D47" s="6">
        <v>150866</v>
      </c>
      <c r="E47" s="6">
        <v>0</v>
      </c>
    </row>
    <row r="48" spans="1:5" ht="15" x14ac:dyDescent="0.25">
      <c r="A48" s="5" t="s">
        <v>48</v>
      </c>
      <c r="B48" s="6">
        <v>1179744</v>
      </c>
      <c r="C48" s="6">
        <v>636053</v>
      </c>
      <c r="D48" s="6">
        <v>544759</v>
      </c>
      <c r="E48" s="6">
        <v>91294</v>
      </c>
    </row>
    <row r="49" spans="1:5" ht="15" x14ac:dyDescent="0.25">
      <c r="A49" s="5" t="s">
        <v>49</v>
      </c>
      <c r="B49" s="6">
        <v>3312343</v>
      </c>
      <c r="C49" s="6">
        <v>1041368</v>
      </c>
      <c r="D49" s="6">
        <v>988301</v>
      </c>
      <c r="E49" s="6">
        <v>53067</v>
      </c>
    </row>
    <row r="50" spans="1:5" ht="15" x14ac:dyDescent="0.25">
      <c r="A50" s="5" t="s">
        <v>50</v>
      </c>
      <c r="B50" s="6">
        <v>1429591</v>
      </c>
      <c r="C50" s="6">
        <v>599652</v>
      </c>
      <c r="D50" s="6" t="s">
        <v>8</v>
      </c>
      <c r="E50" s="6">
        <v>599652</v>
      </c>
    </row>
    <row r="51" spans="1:5" ht="15" x14ac:dyDescent="0.25">
      <c r="A51" s="5" t="s">
        <v>51</v>
      </c>
      <c r="B51" s="6">
        <v>332903</v>
      </c>
      <c r="C51" s="6">
        <v>88928</v>
      </c>
      <c r="D51" s="6">
        <v>88928</v>
      </c>
      <c r="E51" s="6">
        <v>0</v>
      </c>
    </row>
    <row r="52" spans="1:5" ht="15" x14ac:dyDescent="0.25">
      <c r="A52" s="5" t="s">
        <v>52</v>
      </c>
      <c r="B52" s="6">
        <v>1442778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121786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1725435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5237507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437362</v>
      </c>
      <c r="C56" s="6">
        <v>99216</v>
      </c>
      <c r="D56" s="6">
        <v>98335</v>
      </c>
      <c r="E56" s="6">
        <v>881</v>
      </c>
    </row>
    <row r="57" spans="1:5" ht="15" x14ac:dyDescent="0.25">
      <c r="A57" s="5" t="s">
        <v>57</v>
      </c>
      <c r="B57" s="6">
        <v>191671</v>
      </c>
      <c r="C57" s="6">
        <v>71555</v>
      </c>
      <c r="D57" s="6">
        <v>0</v>
      </c>
      <c r="E57" s="6">
        <v>71555</v>
      </c>
    </row>
    <row r="58" spans="1:5" ht="15" x14ac:dyDescent="0.25">
      <c r="A58" s="5" t="s">
        <v>58</v>
      </c>
      <c r="B58" s="6">
        <v>34271</v>
      </c>
      <c r="C58" s="6">
        <v>16762</v>
      </c>
      <c r="D58" s="6" t="s">
        <v>8</v>
      </c>
      <c r="E58" s="6">
        <v>16762</v>
      </c>
    </row>
    <row r="59" spans="1:5" ht="15" x14ac:dyDescent="0.25">
      <c r="A59" s="5" t="s">
        <v>59</v>
      </c>
      <c r="B59" s="6">
        <v>1687033</v>
      </c>
      <c r="C59" s="6">
        <v>562548</v>
      </c>
      <c r="D59" s="6">
        <v>562548</v>
      </c>
      <c r="E59" s="6">
        <v>0</v>
      </c>
    </row>
    <row r="60" spans="1:5" ht="15" x14ac:dyDescent="0.25">
      <c r="A60" s="5" t="s">
        <v>60</v>
      </c>
      <c r="B60" s="6">
        <v>1998777</v>
      </c>
      <c r="C60" s="6">
        <v>734054</v>
      </c>
      <c r="D60" s="6">
        <v>718150</v>
      </c>
      <c r="E60" s="6">
        <v>15904</v>
      </c>
    </row>
    <row r="61" spans="1:5" ht="15" x14ac:dyDescent="0.25">
      <c r="A61" s="5" t="s">
        <v>61</v>
      </c>
      <c r="B61" s="6">
        <v>605028</v>
      </c>
      <c r="C61" s="6">
        <v>211354</v>
      </c>
      <c r="D61" s="6">
        <v>211354</v>
      </c>
      <c r="E61" s="6">
        <v>0</v>
      </c>
    </row>
    <row r="62" spans="1:5" ht="15" x14ac:dyDescent="0.25">
      <c r="A62" s="5" t="s">
        <v>62</v>
      </c>
      <c r="B62" s="6">
        <v>1423100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73227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88407727</v>
      </c>
      <c r="C64" s="8">
        <f>SUM(C8:C63)</f>
        <v>20652351</v>
      </c>
      <c r="D64" s="8">
        <f>SUM(D8:D63)</f>
        <v>16444182</v>
      </c>
      <c r="E64" s="8">
        <f>SUM(E8:E63)</f>
        <v>4208169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20, 2022 11:22 AM&amp;R&amp;"-,Regular"&amp;7Page : &amp;"-,Regular"&amp;7&amp;P&amp;"-,Regular"&amp;7 of &amp;"-,Regular"&amp;7&amp;N</oddFooter>
    <evenFooter>&amp;L&amp;"-,Regular"&amp;7Created On: Tuesday, December 20, 2022 11:22 AM&amp;R&amp;"-,Regular"&amp;7Page : &amp;"-,Regular"&amp;7&amp;P&amp;"-,Regular"&amp;7 of &amp;"-,Regular"&amp;7&amp;N</evenFooter>
    <firstFooter>&amp;L&amp;"-,Regular"&amp;7Created On: Tuesday, December 20, 2022 11:22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4CF7-ABE9-4813-ABDB-593E21D92218}">
  <sheetPr>
    <pageSetUpPr fitToPage="1"/>
  </sheetPr>
  <dimension ref="A1:E89"/>
  <sheetViews>
    <sheetView workbookViewId="0">
      <pane ySplit="7" topLeftCell="A65" activePane="bottomLeft" state="frozenSplit"/>
      <selection activeCell="C89" sqref="C89"/>
      <selection pane="bottomLeft" activeCell="C89" sqref="C8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151</v>
      </c>
      <c r="B2" s="2"/>
      <c r="C2" s="2"/>
      <c r="D2" s="2"/>
      <c r="E2" s="2"/>
    </row>
    <row r="3" spans="1:5" ht="15" x14ac:dyDescent="0.25">
      <c r="A3" s="2" t="s">
        <v>146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1207582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243136</v>
      </c>
      <c r="C9" s="6">
        <v>67909</v>
      </c>
      <c r="D9" s="6">
        <v>67909</v>
      </c>
      <c r="E9" s="6">
        <v>0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2223749</v>
      </c>
      <c r="C11" s="6">
        <v>620618</v>
      </c>
      <c r="D11" s="6">
        <v>188973</v>
      </c>
      <c r="E11" s="6">
        <v>431645</v>
      </c>
    </row>
    <row r="12" spans="1:5" ht="15" x14ac:dyDescent="0.25">
      <c r="A12" s="5" t="s">
        <v>12</v>
      </c>
      <c r="B12" s="6">
        <v>969673</v>
      </c>
      <c r="C12" s="6">
        <v>328114</v>
      </c>
      <c r="D12" s="6">
        <v>319224</v>
      </c>
      <c r="E12" s="6">
        <v>8890</v>
      </c>
    </row>
    <row r="13" spans="1:5" ht="15" x14ac:dyDescent="0.25">
      <c r="A13" s="5" t="s">
        <v>13</v>
      </c>
      <c r="B13" s="6">
        <v>13825438</v>
      </c>
      <c r="C13" s="6">
        <v>4470904</v>
      </c>
      <c r="D13" s="6">
        <v>4441780</v>
      </c>
      <c r="E13" s="6">
        <v>29124</v>
      </c>
    </row>
    <row r="14" spans="1:5" ht="15" x14ac:dyDescent="0.25">
      <c r="A14" s="5" t="s">
        <v>14</v>
      </c>
      <c r="B14" s="6">
        <v>1519019</v>
      </c>
      <c r="C14" s="6">
        <v>549749</v>
      </c>
      <c r="D14" s="6">
        <v>539939</v>
      </c>
      <c r="E14" s="6">
        <v>9810</v>
      </c>
    </row>
    <row r="15" spans="1:5" ht="15" x14ac:dyDescent="0.25">
      <c r="A15" s="5" t="s">
        <v>15</v>
      </c>
      <c r="B15" s="6">
        <v>1115629</v>
      </c>
      <c r="C15" s="6">
        <v>335577</v>
      </c>
      <c r="D15" s="6">
        <v>306840</v>
      </c>
      <c r="E15" s="6">
        <v>28737</v>
      </c>
    </row>
    <row r="16" spans="1:5" ht="15" x14ac:dyDescent="0.25">
      <c r="A16" s="5" t="s">
        <v>16</v>
      </c>
      <c r="B16" s="6">
        <v>257047</v>
      </c>
      <c r="C16" s="6">
        <v>79793</v>
      </c>
      <c r="D16" s="6">
        <v>12514</v>
      </c>
      <c r="E16" s="6">
        <v>67279</v>
      </c>
    </row>
    <row r="17" spans="1:5" ht="15" x14ac:dyDescent="0.25">
      <c r="A17" s="5" t="s">
        <v>17</v>
      </c>
      <c r="B17" s="6">
        <v>271051</v>
      </c>
      <c r="C17" s="6">
        <v>122967</v>
      </c>
      <c r="D17" s="6">
        <v>79708</v>
      </c>
      <c r="E17" s="6">
        <v>43259</v>
      </c>
    </row>
    <row r="18" spans="1:5" ht="15" x14ac:dyDescent="0.25">
      <c r="A18" s="5" t="s">
        <v>18</v>
      </c>
      <c r="B18" s="6">
        <v>4898970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2354616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37215</v>
      </c>
      <c r="C20" s="6">
        <v>4556</v>
      </c>
      <c r="D20" s="6" t="s">
        <v>8</v>
      </c>
      <c r="E20" s="6">
        <v>4556</v>
      </c>
    </row>
    <row r="21" spans="1:5" ht="15" x14ac:dyDescent="0.25">
      <c r="A21" s="5" t="s">
        <v>21</v>
      </c>
      <c r="B21" s="6">
        <v>428968</v>
      </c>
      <c r="C21" s="6">
        <v>163771</v>
      </c>
      <c r="D21" s="6">
        <v>28950</v>
      </c>
      <c r="E21" s="6">
        <v>134821</v>
      </c>
    </row>
    <row r="22" spans="1:5" ht="15" x14ac:dyDescent="0.25">
      <c r="A22" s="5" t="s">
        <v>22</v>
      </c>
      <c r="B22" s="6">
        <v>421004</v>
      </c>
      <c r="C22" s="6">
        <v>104784</v>
      </c>
      <c r="D22" s="6">
        <v>104784</v>
      </c>
      <c r="E22" s="6">
        <v>0</v>
      </c>
    </row>
    <row r="23" spans="1:5" ht="15" x14ac:dyDescent="0.25">
      <c r="A23" s="5" t="s">
        <v>23</v>
      </c>
      <c r="B23" s="6">
        <v>3131818</v>
      </c>
      <c r="C23" s="6">
        <v>888100</v>
      </c>
      <c r="D23" s="6">
        <v>786170</v>
      </c>
      <c r="E23" s="6">
        <v>101930</v>
      </c>
    </row>
    <row r="24" spans="1:5" ht="15" x14ac:dyDescent="0.25">
      <c r="A24" s="5" t="s">
        <v>24</v>
      </c>
      <c r="B24" s="6">
        <v>1822076</v>
      </c>
      <c r="C24" s="6">
        <v>512373</v>
      </c>
      <c r="D24" s="6">
        <v>512373</v>
      </c>
      <c r="E24" s="6">
        <v>0</v>
      </c>
    </row>
    <row r="25" spans="1:5" ht="15" x14ac:dyDescent="0.25">
      <c r="A25" s="5" t="s">
        <v>25</v>
      </c>
      <c r="B25" s="6">
        <v>723561</v>
      </c>
      <c r="C25" s="6">
        <v>231259</v>
      </c>
      <c r="D25" s="6">
        <v>190488</v>
      </c>
      <c r="E25" s="6">
        <v>40771</v>
      </c>
    </row>
    <row r="26" spans="1:5" ht="15" x14ac:dyDescent="0.25">
      <c r="A26" s="5" t="s">
        <v>26</v>
      </c>
      <c r="B26" s="6">
        <v>421699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1465823</v>
      </c>
      <c r="C27" s="6">
        <v>571313</v>
      </c>
      <c r="D27" s="6">
        <v>571313</v>
      </c>
      <c r="E27" s="6">
        <v>0</v>
      </c>
    </row>
    <row r="28" spans="1:5" ht="15" x14ac:dyDescent="0.25">
      <c r="A28" s="5" t="s">
        <v>28</v>
      </c>
      <c r="B28" s="6">
        <v>1905299</v>
      </c>
      <c r="C28" s="6">
        <v>686041</v>
      </c>
      <c r="D28" s="6">
        <v>686041</v>
      </c>
      <c r="E28" s="6">
        <v>0</v>
      </c>
    </row>
    <row r="29" spans="1:5" ht="15" x14ac:dyDescent="0.25">
      <c r="A29" s="5" t="s">
        <v>29</v>
      </c>
      <c r="B29" s="6">
        <v>354003</v>
      </c>
      <c r="C29" s="6">
        <v>88060</v>
      </c>
      <c r="D29" s="6">
        <v>69245</v>
      </c>
      <c r="E29" s="6">
        <v>18815</v>
      </c>
    </row>
    <row r="30" spans="1:5" ht="15" x14ac:dyDescent="0.25">
      <c r="A30" s="5" t="s">
        <v>30</v>
      </c>
      <c r="B30" s="6">
        <v>1461778</v>
      </c>
      <c r="C30" s="6">
        <v>405907</v>
      </c>
      <c r="D30" s="6">
        <v>405907</v>
      </c>
      <c r="E30" s="6">
        <v>0</v>
      </c>
    </row>
    <row r="31" spans="1:5" ht="15" x14ac:dyDescent="0.25">
      <c r="A31" s="5" t="s">
        <v>31</v>
      </c>
      <c r="B31" s="6">
        <v>1954312</v>
      </c>
      <c r="C31" s="6">
        <v>436953</v>
      </c>
      <c r="D31" s="6">
        <v>0</v>
      </c>
      <c r="E31" s="6">
        <v>436953</v>
      </c>
    </row>
    <row r="32" spans="1:5" ht="15" x14ac:dyDescent="0.25">
      <c r="A32" s="5" t="s">
        <v>32</v>
      </c>
      <c r="B32" s="6">
        <v>2846838</v>
      </c>
      <c r="C32" s="6">
        <v>939422</v>
      </c>
      <c r="D32" s="6">
        <v>880131</v>
      </c>
      <c r="E32" s="6">
        <v>59291</v>
      </c>
    </row>
    <row r="33" spans="1:5" ht="15" x14ac:dyDescent="0.25">
      <c r="A33" s="5" t="s">
        <v>33</v>
      </c>
      <c r="B33" s="6">
        <v>1259663</v>
      </c>
      <c r="C33" s="6">
        <v>260441</v>
      </c>
      <c r="D33" s="6">
        <v>260441</v>
      </c>
      <c r="E33" s="6">
        <v>0</v>
      </c>
    </row>
    <row r="34" spans="1:5" ht="15" x14ac:dyDescent="0.25">
      <c r="A34" s="5" t="s">
        <v>34</v>
      </c>
      <c r="B34" s="6">
        <v>781394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1085425</v>
      </c>
      <c r="C35" s="6">
        <v>0</v>
      </c>
      <c r="D35" s="6">
        <v>0</v>
      </c>
      <c r="E35" s="6">
        <v>0</v>
      </c>
    </row>
    <row r="36" spans="1:5" ht="15" x14ac:dyDescent="0.25">
      <c r="A36" s="5" t="s">
        <v>36</v>
      </c>
      <c r="B36" s="6">
        <v>281675</v>
      </c>
      <c r="C36" s="6">
        <v>108653</v>
      </c>
      <c r="D36" s="6">
        <v>108653</v>
      </c>
      <c r="E36" s="6">
        <v>0</v>
      </c>
    </row>
    <row r="37" spans="1:5" ht="15" x14ac:dyDescent="0.25">
      <c r="A37" s="5" t="s">
        <v>37</v>
      </c>
      <c r="B37" s="6">
        <v>16493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338653</v>
      </c>
      <c r="C38" s="6">
        <v>51109</v>
      </c>
      <c r="D38" s="6">
        <v>50075</v>
      </c>
      <c r="E38" s="6">
        <v>1034</v>
      </c>
    </row>
    <row r="39" spans="1:5" ht="15" x14ac:dyDescent="0.25">
      <c r="A39" s="5" t="s">
        <v>39</v>
      </c>
      <c r="B39" s="6">
        <v>765702</v>
      </c>
      <c r="C39" s="6">
        <v>315473</v>
      </c>
      <c r="D39" s="6">
        <v>315473</v>
      </c>
      <c r="E39" s="6">
        <v>0</v>
      </c>
    </row>
    <row r="40" spans="1:5" ht="15" x14ac:dyDescent="0.25">
      <c r="A40" s="5" t="s">
        <v>40</v>
      </c>
      <c r="B40" s="6">
        <v>220776</v>
      </c>
      <c r="C40" s="6">
        <v>79885</v>
      </c>
      <c r="D40" s="6">
        <v>79463</v>
      </c>
      <c r="E40" s="6">
        <v>422</v>
      </c>
    </row>
    <row r="41" spans="1:5" ht="15" x14ac:dyDescent="0.25">
      <c r="A41" s="5" t="s">
        <v>41</v>
      </c>
      <c r="B41" s="6">
        <v>1911773</v>
      </c>
      <c r="C41" s="6">
        <v>694853</v>
      </c>
      <c r="D41" s="6">
        <v>694853</v>
      </c>
      <c r="E41" s="6">
        <v>0</v>
      </c>
    </row>
    <row r="42" spans="1:5" ht="15" x14ac:dyDescent="0.25">
      <c r="A42" s="5" t="s">
        <v>42</v>
      </c>
      <c r="B42" s="6">
        <v>944009</v>
      </c>
      <c r="C42" s="6">
        <v>290136</v>
      </c>
      <c r="D42" s="6">
        <v>290136</v>
      </c>
      <c r="E42" s="6">
        <v>0</v>
      </c>
    </row>
    <row r="43" spans="1:5" ht="15" x14ac:dyDescent="0.25">
      <c r="A43" s="5" t="s">
        <v>43</v>
      </c>
      <c r="B43" s="6">
        <v>7172901</v>
      </c>
      <c r="C43" s="6">
        <v>2390308</v>
      </c>
      <c r="D43" s="6">
        <v>423871</v>
      </c>
      <c r="E43" s="6">
        <v>1966437</v>
      </c>
    </row>
    <row r="44" spans="1:5" ht="15" x14ac:dyDescent="0.25">
      <c r="A44" s="5" t="s">
        <v>44</v>
      </c>
      <c r="B44" s="6">
        <v>2579785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116312</v>
      </c>
      <c r="C45" s="6">
        <v>28849</v>
      </c>
      <c r="D45" s="6">
        <v>27237</v>
      </c>
      <c r="E45" s="6">
        <v>1612</v>
      </c>
    </row>
    <row r="46" spans="1:5" ht="15" x14ac:dyDescent="0.25">
      <c r="A46" s="5" t="s">
        <v>46</v>
      </c>
      <c r="B46" s="6">
        <v>3307934</v>
      </c>
      <c r="C46" s="6">
        <v>758369</v>
      </c>
      <c r="D46" s="6">
        <v>758108</v>
      </c>
      <c r="E46" s="6">
        <v>261</v>
      </c>
    </row>
    <row r="47" spans="1:5" ht="15" x14ac:dyDescent="0.25">
      <c r="A47" s="5" t="s">
        <v>47</v>
      </c>
      <c r="B47" s="6">
        <v>928353</v>
      </c>
      <c r="C47" s="6">
        <v>175569</v>
      </c>
      <c r="D47" s="6">
        <v>175569</v>
      </c>
      <c r="E47" s="6">
        <v>0</v>
      </c>
    </row>
    <row r="48" spans="1:5" ht="15" x14ac:dyDescent="0.25">
      <c r="A48" s="5" t="s">
        <v>48</v>
      </c>
      <c r="B48" s="6">
        <v>1186487</v>
      </c>
      <c r="C48" s="6">
        <v>642744</v>
      </c>
      <c r="D48" s="6">
        <v>551792</v>
      </c>
      <c r="E48" s="6">
        <v>90952</v>
      </c>
    </row>
    <row r="49" spans="1:5" ht="15" x14ac:dyDescent="0.25">
      <c r="A49" s="5" t="s">
        <v>49</v>
      </c>
      <c r="B49" s="6">
        <v>3336359</v>
      </c>
      <c r="C49" s="6">
        <v>1053453</v>
      </c>
      <c r="D49" s="6">
        <v>999542</v>
      </c>
      <c r="E49" s="6">
        <v>53911</v>
      </c>
    </row>
    <row r="50" spans="1:5" ht="15" x14ac:dyDescent="0.25">
      <c r="A50" s="5" t="s">
        <v>50</v>
      </c>
      <c r="B50" s="6">
        <v>1436441</v>
      </c>
      <c r="C50" s="6">
        <v>602285</v>
      </c>
      <c r="D50" s="6" t="s">
        <v>8</v>
      </c>
      <c r="E50" s="6">
        <v>602285</v>
      </c>
    </row>
    <row r="51" spans="1:5" ht="15" x14ac:dyDescent="0.25">
      <c r="A51" s="5" t="s">
        <v>51</v>
      </c>
      <c r="B51" s="6">
        <v>334527</v>
      </c>
      <c r="C51" s="6">
        <v>89845</v>
      </c>
      <c r="D51" s="6">
        <v>89845</v>
      </c>
      <c r="E51" s="6">
        <v>0</v>
      </c>
    </row>
    <row r="52" spans="1:5" ht="15" x14ac:dyDescent="0.25">
      <c r="A52" s="5" t="s">
        <v>52</v>
      </c>
      <c r="B52" s="6">
        <v>1451428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122741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1734323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5292082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443658</v>
      </c>
      <c r="C56" s="6">
        <v>101756</v>
      </c>
      <c r="D56" s="6">
        <v>100873</v>
      </c>
      <c r="E56" s="6">
        <v>883</v>
      </c>
    </row>
    <row r="57" spans="1:5" ht="15" x14ac:dyDescent="0.25">
      <c r="A57" s="5" t="s">
        <v>57</v>
      </c>
      <c r="B57" s="6">
        <v>192836</v>
      </c>
      <c r="C57" s="6">
        <v>72344</v>
      </c>
      <c r="D57" s="6">
        <v>0</v>
      </c>
      <c r="E57" s="6">
        <v>72344</v>
      </c>
    </row>
    <row r="58" spans="1:5" ht="15" x14ac:dyDescent="0.25">
      <c r="A58" s="5" t="s">
        <v>58</v>
      </c>
      <c r="B58" s="6">
        <v>34421</v>
      </c>
      <c r="C58" s="6">
        <v>16857</v>
      </c>
      <c r="D58" s="6" t="s">
        <v>8</v>
      </c>
      <c r="E58" s="6">
        <v>16857</v>
      </c>
    </row>
    <row r="59" spans="1:5" ht="15" x14ac:dyDescent="0.25">
      <c r="A59" s="5" t="s">
        <v>59</v>
      </c>
      <c r="B59" s="6">
        <v>1703289</v>
      </c>
      <c r="C59" s="6">
        <v>570915</v>
      </c>
      <c r="D59" s="6">
        <v>570915</v>
      </c>
      <c r="E59" s="6">
        <v>0</v>
      </c>
    </row>
    <row r="60" spans="1:5" ht="15" x14ac:dyDescent="0.25">
      <c r="A60" s="5" t="s">
        <v>60</v>
      </c>
      <c r="B60" s="6">
        <v>2013397</v>
      </c>
      <c r="C60" s="6">
        <v>743285</v>
      </c>
      <c r="D60" s="6">
        <v>727552</v>
      </c>
      <c r="E60" s="6">
        <v>15733</v>
      </c>
    </row>
    <row r="61" spans="1:5" ht="15" x14ac:dyDescent="0.25">
      <c r="A61" s="5" t="s">
        <v>61</v>
      </c>
      <c r="B61" s="6">
        <v>609415</v>
      </c>
      <c r="C61" s="6">
        <v>213099</v>
      </c>
      <c r="D61" s="6">
        <v>213099</v>
      </c>
      <c r="E61" s="6">
        <v>0</v>
      </c>
    </row>
    <row r="62" spans="1:5" ht="15" x14ac:dyDescent="0.25">
      <c r="A62" s="5" t="s">
        <v>62</v>
      </c>
      <c r="B62" s="6">
        <v>1433028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73886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89007226</v>
      </c>
      <c r="C64" s="8">
        <f>SUM(C8:C63)</f>
        <v>20868398</v>
      </c>
      <c r="D64" s="8">
        <f>SUM(D8:D63)</f>
        <v>16629786</v>
      </c>
      <c r="E64" s="8">
        <f>SUM(E8:E63)</f>
        <v>4238612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20, 2022 11:22 AM&amp;R&amp;"-,Regular"&amp;7Page : &amp;"-,Regular"&amp;7&amp;P&amp;"-,Regular"&amp;7 of &amp;"-,Regular"&amp;7&amp;N</oddFooter>
    <evenFooter>&amp;L&amp;"-,Regular"&amp;7Created On: Tuesday, December 20, 2022 11:22 AM&amp;R&amp;"-,Regular"&amp;7Page : &amp;"-,Regular"&amp;7&amp;P&amp;"-,Regular"&amp;7 of &amp;"-,Regular"&amp;7&amp;N</evenFooter>
    <firstFooter>&amp;L&amp;"-,Regular"&amp;7Created On: Tuesday, December 20, 2022 11:22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2DA1-8B5F-49E7-BED0-74087CF388B3}">
  <sheetPr>
    <pageSetUpPr fitToPage="1"/>
  </sheetPr>
  <dimension ref="A1:E89"/>
  <sheetViews>
    <sheetView workbookViewId="0">
      <pane ySplit="7" topLeftCell="A65" activePane="bottomLeft" state="frozenSplit"/>
      <selection activeCell="C89" sqref="C89"/>
      <selection pane="bottomLeft" activeCell="C89" sqref="C8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152</v>
      </c>
      <c r="B2" s="2"/>
      <c r="C2" s="2"/>
      <c r="D2" s="2"/>
      <c r="E2" s="2"/>
    </row>
    <row r="3" spans="1:5" ht="15" x14ac:dyDescent="0.25">
      <c r="A3" s="2" t="s">
        <v>146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1215453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243672</v>
      </c>
      <c r="C9" s="6">
        <v>68090</v>
      </c>
      <c r="D9" s="6">
        <v>68090</v>
      </c>
      <c r="E9" s="6">
        <v>0</v>
      </c>
    </row>
    <row r="10" spans="1:5" ht="15" x14ac:dyDescent="0.25">
      <c r="A10" s="5" t="s">
        <v>10</v>
      </c>
      <c r="B10" s="6">
        <v>37756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2241089</v>
      </c>
      <c r="C11" s="6">
        <v>630580</v>
      </c>
      <c r="D11" s="6">
        <v>190960</v>
      </c>
      <c r="E11" s="6">
        <v>439620</v>
      </c>
    </row>
    <row r="12" spans="1:5" ht="15" x14ac:dyDescent="0.25">
      <c r="A12" s="5" t="s">
        <v>12</v>
      </c>
      <c r="B12" s="6">
        <v>975640</v>
      </c>
      <c r="C12" s="6">
        <v>329745</v>
      </c>
      <c r="D12" s="6">
        <v>319418</v>
      </c>
      <c r="E12" s="6">
        <v>10327</v>
      </c>
    </row>
    <row r="13" spans="1:5" ht="15" x14ac:dyDescent="0.25">
      <c r="A13" s="5" t="s">
        <v>13</v>
      </c>
      <c r="B13" s="6">
        <v>13812733</v>
      </c>
      <c r="C13" s="6">
        <v>4485856</v>
      </c>
      <c r="D13" s="6">
        <v>4456870</v>
      </c>
      <c r="E13" s="6">
        <v>28986</v>
      </c>
    </row>
    <row r="14" spans="1:5" ht="15" x14ac:dyDescent="0.25">
      <c r="A14" s="5" t="s">
        <v>14</v>
      </c>
      <c r="B14" s="6">
        <v>1529934</v>
      </c>
      <c r="C14" s="6">
        <v>553428</v>
      </c>
      <c r="D14" s="6">
        <v>543731</v>
      </c>
      <c r="E14" s="6">
        <v>9697</v>
      </c>
    </row>
    <row r="15" spans="1:5" ht="15" x14ac:dyDescent="0.25">
      <c r="A15" s="5" t="s">
        <v>15</v>
      </c>
      <c r="B15" s="6">
        <v>1119287</v>
      </c>
      <c r="C15" s="6">
        <v>338298</v>
      </c>
      <c r="D15" s="6">
        <v>309709</v>
      </c>
      <c r="E15" s="6">
        <v>28589</v>
      </c>
    </row>
    <row r="16" spans="1:5" ht="15" x14ac:dyDescent="0.25">
      <c r="A16" s="5" t="s">
        <v>16</v>
      </c>
      <c r="B16" s="6">
        <v>259042</v>
      </c>
      <c r="C16" s="6">
        <v>80477</v>
      </c>
      <c r="D16" s="6">
        <v>12649</v>
      </c>
      <c r="E16" s="6">
        <v>67828</v>
      </c>
    </row>
    <row r="17" spans="1:5" ht="15" x14ac:dyDescent="0.25">
      <c r="A17" s="5" t="s">
        <v>17</v>
      </c>
      <c r="B17" s="6">
        <v>271932</v>
      </c>
      <c r="C17" s="6">
        <v>123589</v>
      </c>
      <c r="D17" s="6">
        <v>80226</v>
      </c>
      <c r="E17" s="6">
        <v>43363</v>
      </c>
    </row>
    <row r="18" spans="1:5" ht="15" x14ac:dyDescent="0.25">
      <c r="A18" s="5" t="s">
        <v>18</v>
      </c>
      <c r="B18" s="6">
        <v>4885774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2368940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37038</v>
      </c>
      <c r="C20" s="6">
        <v>4564</v>
      </c>
      <c r="D20" s="6" t="s">
        <v>8</v>
      </c>
      <c r="E20" s="6">
        <v>4564</v>
      </c>
    </row>
    <row r="21" spans="1:5" ht="15" x14ac:dyDescent="0.25">
      <c r="A21" s="5" t="s">
        <v>21</v>
      </c>
      <c r="B21" s="6">
        <v>432203</v>
      </c>
      <c r="C21" s="6">
        <v>166096</v>
      </c>
      <c r="D21" s="6">
        <v>29159</v>
      </c>
      <c r="E21" s="6">
        <v>136937</v>
      </c>
    </row>
    <row r="22" spans="1:5" ht="15" x14ac:dyDescent="0.25">
      <c r="A22" s="5" t="s">
        <v>22</v>
      </c>
      <c r="B22" s="6">
        <v>422530</v>
      </c>
      <c r="C22" s="6">
        <v>105899</v>
      </c>
      <c r="D22" s="6">
        <v>105899</v>
      </c>
      <c r="E22" s="6">
        <v>0</v>
      </c>
    </row>
    <row r="23" spans="1:5" ht="15" x14ac:dyDescent="0.25">
      <c r="A23" s="5" t="s">
        <v>23</v>
      </c>
      <c r="B23" s="6">
        <v>3149826</v>
      </c>
      <c r="C23" s="6">
        <v>896123</v>
      </c>
      <c r="D23" s="6">
        <v>794487</v>
      </c>
      <c r="E23" s="6">
        <v>101636</v>
      </c>
    </row>
    <row r="24" spans="1:5" ht="15" x14ac:dyDescent="0.25">
      <c r="A24" s="5" t="s">
        <v>24</v>
      </c>
      <c r="B24" s="6">
        <v>1827297</v>
      </c>
      <c r="C24" s="6">
        <v>515196</v>
      </c>
      <c r="D24" s="6">
        <v>515196</v>
      </c>
      <c r="E24" s="6">
        <v>0</v>
      </c>
    </row>
    <row r="25" spans="1:5" ht="15" x14ac:dyDescent="0.25">
      <c r="A25" s="5" t="s">
        <v>25</v>
      </c>
      <c r="B25" s="6">
        <v>725581</v>
      </c>
      <c r="C25" s="6">
        <v>234666</v>
      </c>
      <c r="D25" s="6">
        <v>191561</v>
      </c>
      <c r="E25" s="6">
        <v>43105</v>
      </c>
    </row>
    <row r="26" spans="1:5" ht="15" x14ac:dyDescent="0.25">
      <c r="A26" s="5" t="s">
        <v>26</v>
      </c>
      <c r="B26" s="6">
        <v>425499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1467416</v>
      </c>
      <c r="C27" s="6">
        <v>573657</v>
      </c>
      <c r="D27" s="6">
        <v>573657</v>
      </c>
      <c r="E27" s="6">
        <v>0</v>
      </c>
    </row>
    <row r="28" spans="1:5" ht="15" x14ac:dyDescent="0.25">
      <c r="A28" s="5" t="s">
        <v>28</v>
      </c>
      <c r="B28" s="6">
        <v>1907829</v>
      </c>
      <c r="C28" s="6">
        <v>689576</v>
      </c>
      <c r="D28" s="6">
        <v>689576</v>
      </c>
      <c r="E28" s="6">
        <v>0</v>
      </c>
    </row>
    <row r="29" spans="1:5" ht="15" x14ac:dyDescent="0.25">
      <c r="A29" s="5" t="s">
        <v>29</v>
      </c>
      <c r="B29" s="6">
        <v>353763</v>
      </c>
      <c r="C29" s="6">
        <v>88645</v>
      </c>
      <c r="D29" s="6">
        <v>69559</v>
      </c>
      <c r="E29" s="6">
        <v>19086</v>
      </c>
    </row>
    <row r="30" spans="1:5" ht="15" x14ac:dyDescent="0.25">
      <c r="A30" s="5" t="s">
        <v>30</v>
      </c>
      <c r="B30" s="6">
        <v>1470371</v>
      </c>
      <c r="C30" s="6">
        <v>410114</v>
      </c>
      <c r="D30" s="6">
        <v>410114</v>
      </c>
      <c r="E30" s="6">
        <v>0</v>
      </c>
    </row>
    <row r="31" spans="1:5" ht="15" x14ac:dyDescent="0.25">
      <c r="A31" s="5" t="s">
        <v>31</v>
      </c>
      <c r="B31" s="6">
        <v>1973925</v>
      </c>
      <c r="C31" s="6">
        <v>441598</v>
      </c>
      <c r="D31" s="6">
        <v>0</v>
      </c>
      <c r="E31" s="6">
        <v>441598</v>
      </c>
    </row>
    <row r="32" spans="1:5" ht="15" x14ac:dyDescent="0.25">
      <c r="A32" s="5" t="s">
        <v>32</v>
      </c>
      <c r="B32" s="6">
        <v>2861551</v>
      </c>
      <c r="C32" s="6">
        <v>948482</v>
      </c>
      <c r="D32" s="6">
        <v>889152</v>
      </c>
      <c r="E32" s="6">
        <v>59330</v>
      </c>
    </row>
    <row r="33" spans="1:5" ht="15" x14ac:dyDescent="0.25">
      <c r="A33" s="5" t="s">
        <v>33</v>
      </c>
      <c r="B33" s="6">
        <v>1259989</v>
      </c>
      <c r="C33" s="6">
        <v>262335</v>
      </c>
      <c r="D33" s="6">
        <v>262335</v>
      </c>
      <c r="E33" s="6">
        <v>0</v>
      </c>
    </row>
    <row r="34" spans="1:5" ht="15" x14ac:dyDescent="0.25">
      <c r="A34" s="5" t="s">
        <v>34</v>
      </c>
      <c r="B34" s="6">
        <v>785517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1093396</v>
      </c>
      <c r="C35" s="6">
        <v>0</v>
      </c>
      <c r="D35" s="6">
        <v>0</v>
      </c>
      <c r="E35" s="6">
        <v>0</v>
      </c>
    </row>
    <row r="36" spans="1:5" ht="15" x14ac:dyDescent="0.25">
      <c r="A36" s="5" t="s">
        <v>36</v>
      </c>
      <c r="B36" s="6">
        <v>283025</v>
      </c>
      <c r="C36" s="6">
        <v>109075</v>
      </c>
      <c r="D36" s="6">
        <v>109075</v>
      </c>
      <c r="E36" s="6">
        <v>0</v>
      </c>
    </row>
    <row r="37" spans="1:5" ht="15" x14ac:dyDescent="0.25">
      <c r="A37" s="5" t="s">
        <v>37</v>
      </c>
      <c r="B37" s="6">
        <v>16034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341569</v>
      </c>
      <c r="C38" s="6">
        <v>52983</v>
      </c>
      <c r="D38" s="6">
        <v>51903</v>
      </c>
      <c r="E38" s="6">
        <v>1080</v>
      </c>
    </row>
    <row r="39" spans="1:5" ht="15" x14ac:dyDescent="0.25">
      <c r="A39" s="5" t="s">
        <v>39</v>
      </c>
      <c r="B39" s="6">
        <v>763916</v>
      </c>
      <c r="C39" s="6">
        <v>320021</v>
      </c>
      <c r="D39" s="6">
        <v>320021</v>
      </c>
      <c r="E39" s="6">
        <v>0</v>
      </c>
    </row>
    <row r="40" spans="1:5" ht="15" x14ac:dyDescent="0.25">
      <c r="A40" s="5" t="s">
        <v>40</v>
      </c>
      <c r="B40" s="6">
        <v>222842</v>
      </c>
      <c r="C40" s="6">
        <v>81569</v>
      </c>
      <c r="D40" s="6">
        <v>81138</v>
      </c>
      <c r="E40" s="6">
        <v>431</v>
      </c>
    </row>
    <row r="41" spans="1:5" ht="15" x14ac:dyDescent="0.25">
      <c r="A41" s="5" t="s">
        <v>41</v>
      </c>
      <c r="B41" s="6">
        <v>1925556</v>
      </c>
      <c r="C41" s="6">
        <v>700459</v>
      </c>
      <c r="D41" s="6">
        <v>700459</v>
      </c>
      <c r="E41" s="6">
        <v>0</v>
      </c>
    </row>
    <row r="42" spans="1:5" ht="15" x14ac:dyDescent="0.25">
      <c r="A42" s="5" t="s">
        <v>42</v>
      </c>
      <c r="B42" s="6">
        <v>946613</v>
      </c>
      <c r="C42" s="6">
        <v>290144</v>
      </c>
      <c r="D42" s="6">
        <v>290144</v>
      </c>
      <c r="E42" s="6">
        <v>0</v>
      </c>
    </row>
    <row r="43" spans="1:5" ht="15" x14ac:dyDescent="0.25">
      <c r="A43" s="5" t="s">
        <v>43</v>
      </c>
      <c r="B43" s="6">
        <v>7220015</v>
      </c>
      <c r="C43" s="6">
        <v>2405284</v>
      </c>
      <c r="D43" s="6">
        <v>426292</v>
      </c>
      <c r="E43" s="6">
        <v>1978992</v>
      </c>
    </row>
    <row r="44" spans="1:5" ht="15" x14ac:dyDescent="0.25">
      <c r="A44" s="5" t="s">
        <v>44</v>
      </c>
      <c r="B44" s="6">
        <v>2601043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107903</v>
      </c>
      <c r="C45" s="6">
        <v>26025</v>
      </c>
      <c r="D45" s="6">
        <v>24546</v>
      </c>
      <c r="E45" s="6">
        <v>1479</v>
      </c>
    </row>
    <row r="46" spans="1:5" ht="15" x14ac:dyDescent="0.25">
      <c r="A46" s="5" t="s">
        <v>46</v>
      </c>
      <c r="B46" s="6">
        <v>3324234</v>
      </c>
      <c r="C46" s="6">
        <v>767822</v>
      </c>
      <c r="D46" s="6">
        <v>767566</v>
      </c>
      <c r="E46" s="6">
        <v>256</v>
      </c>
    </row>
    <row r="47" spans="1:5" ht="15" x14ac:dyDescent="0.25">
      <c r="A47" s="5" t="s">
        <v>47</v>
      </c>
      <c r="B47" s="6">
        <v>939117</v>
      </c>
      <c r="C47" s="6">
        <v>184723</v>
      </c>
      <c r="D47" s="6">
        <v>184723</v>
      </c>
      <c r="E47" s="6">
        <v>0</v>
      </c>
    </row>
    <row r="48" spans="1:5" ht="15" x14ac:dyDescent="0.25">
      <c r="A48" s="5" t="s">
        <v>48</v>
      </c>
      <c r="B48" s="6">
        <v>1188935</v>
      </c>
      <c r="C48" s="6">
        <v>647406</v>
      </c>
      <c r="D48" s="6">
        <v>556767</v>
      </c>
      <c r="E48" s="6">
        <v>90639</v>
      </c>
    </row>
    <row r="49" spans="1:5" ht="15" x14ac:dyDescent="0.25">
      <c r="A49" s="5" t="s">
        <v>49</v>
      </c>
      <c r="B49" s="6">
        <v>3358770</v>
      </c>
      <c r="C49" s="6">
        <v>1063891</v>
      </c>
      <c r="D49" s="6">
        <v>1009132</v>
      </c>
      <c r="E49" s="6">
        <v>54759</v>
      </c>
    </row>
    <row r="50" spans="1:5" ht="15" x14ac:dyDescent="0.25">
      <c r="A50" s="5" t="s">
        <v>50</v>
      </c>
      <c r="B50" s="6">
        <v>1442087</v>
      </c>
      <c r="C50" s="6">
        <v>605670</v>
      </c>
      <c r="D50" s="6" t="s">
        <v>8</v>
      </c>
      <c r="E50" s="6">
        <v>605670</v>
      </c>
    </row>
    <row r="51" spans="1:5" ht="15" x14ac:dyDescent="0.25">
      <c r="A51" s="5" t="s">
        <v>51</v>
      </c>
      <c r="B51" s="6">
        <v>336116</v>
      </c>
      <c r="C51" s="6">
        <v>90339</v>
      </c>
      <c r="D51" s="6">
        <v>90339</v>
      </c>
      <c r="E51" s="6">
        <v>0</v>
      </c>
    </row>
    <row r="52" spans="1:5" ht="15" x14ac:dyDescent="0.25">
      <c r="A52" s="5" t="s">
        <v>52</v>
      </c>
      <c r="B52" s="6">
        <v>1458358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123627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1740256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5338235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448821</v>
      </c>
      <c r="C56" s="6">
        <v>104157</v>
      </c>
      <c r="D56" s="6">
        <v>103275</v>
      </c>
      <c r="E56" s="6">
        <v>882</v>
      </c>
    </row>
    <row r="57" spans="1:5" ht="15" x14ac:dyDescent="0.25">
      <c r="A57" s="5" t="s">
        <v>57</v>
      </c>
      <c r="B57" s="6">
        <v>193970</v>
      </c>
      <c r="C57" s="6">
        <v>73001</v>
      </c>
      <c r="D57" s="6">
        <v>0</v>
      </c>
      <c r="E57" s="6">
        <v>73001</v>
      </c>
    </row>
    <row r="58" spans="1:5" ht="15" x14ac:dyDescent="0.25">
      <c r="A58" s="5" t="s">
        <v>58</v>
      </c>
      <c r="B58" s="6">
        <v>34415</v>
      </c>
      <c r="C58" s="6">
        <v>16904</v>
      </c>
      <c r="D58" s="6" t="s">
        <v>8</v>
      </c>
      <c r="E58" s="6">
        <v>16904</v>
      </c>
    </row>
    <row r="59" spans="1:5" ht="15" x14ac:dyDescent="0.25">
      <c r="A59" s="5" t="s">
        <v>59</v>
      </c>
      <c r="B59" s="6">
        <v>1721459</v>
      </c>
      <c r="C59" s="6">
        <v>581281</v>
      </c>
      <c r="D59" s="6">
        <v>581281</v>
      </c>
      <c r="E59" s="6">
        <v>0</v>
      </c>
    </row>
    <row r="60" spans="1:5" ht="15" x14ac:dyDescent="0.25">
      <c r="A60" s="5" t="s">
        <v>60</v>
      </c>
      <c r="B60" s="6">
        <v>2024227</v>
      </c>
      <c r="C60" s="6">
        <v>751049</v>
      </c>
      <c r="D60" s="6">
        <v>735820</v>
      </c>
      <c r="E60" s="6">
        <v>15229</v>
      </c>
    </row>
    <row r="61" spans="1:5" ht="15" x14ac:dyDescent="0.25">
      <c r="A61" s="5" t="s">
        <v>61</v>
      </c>
      <c r="B61" s="6">
        <v>613518</v>
      </c>
      <c r="C61" s="6">
        <v>214962</v>
      </c>
      <c r="D61" s="6">
        <v>214962</v>
      </c>
      <c r="E61" s="6">
        <v>0</v>
      </c>
    </row>
    <row r="62" spans="1:5" ht="15" x14ac:dyDescent="0.25">
      <c r="A62" s="5" t="s">
        <v>62</v>
      </c>
      <c r="B62" s="6">
        <v>1440621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74376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89384641</v>
      </c>
      <c r="C64" s="8">
        <f>SUM(C8:C63)</f>
        <v>21033779</v>
      </c>
      <c r="D64" s="8">
        <f>SUM(D8:D63)</f>
        <v>16759791</v>
      </c>
      <c r="E64" s="8">
        <f>SUM(E8:E63)</f>
        <v>4273988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20, 2022 11:22 AM&amp;R&amp;"-,Regular"&amp;7Page : &amp;"-,Regular"&amp;7&amp;P&amp;"-,Regular"&amp;7 of &amp;"-,Regular"&amp;7&amp;N</oddFooter>
    <evenFooter>&amp;L&amp;"-,Regular"&amp;7Created On: Tuesday, December 20, 2022 11:22 AM&amp;R&amp;"-,Regular"&amp;7Page : &amp;"-,Regular"&amp;7&amp;P&amp;"-,Regular"&amp;7 of &amp;"-,Regular"&amp;7&amp;N</evenFooter>
    <firstFooter>&amp;L&amp;"-,Regular"&amp;7Created On: Tuesday, December 20, 2022 11:22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1833-F59A-4DD4-87E6-E52CC462462C}">
  <sheetPr>
    <pageSetUpPr fitToPage="1"/>
  </sheetPr>
  <dimension ref="A1:E89"/>
  <sheetViews>
    <sheetView topLeftCell="C1" workbookViewId="0">
      <pane ySplit="7" topLeftCell="A49" activePane="bottomLeft" state="frozenSplit"/>
      <selection activeCell="C99" sqref="C99"/>
      <selection pane="bottomLeft" activeCell="O64" sqref="O64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154</v>
      </c>
      <c r="B2" s="2"/>
      <c r="C2" s="2"/>
      <c r="D2" s="2"/>
      <c r="E2" s="2"/>
    </row>
    <row r="3" spans="1:5" ht="15" x14ac:dyDescent="0.25">
      <c r="A3" s="2" t="s">
        <v>153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2"/>
      <c r="B5" s="2"/>
      <c r="C5" s="2"/>
      <c r="D5" s="2"/>
      <c r="E5" s="2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1222711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245702</v>
      </c>
      <c r="C9" s="6">
        <v>68510</v>
      </c>
      <c r="D9" s="6">
        <v>68509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2254575</v>
      </c>
      <c r="C11" s="6">
        <v>636897</v>
      </c>
      <c r="D11" s="6">
        <v>190938</v>
      </c>
      <c r="E11" s="6">
        <v>445959</v>
      </c>
    </row>
    <row r="12" spans="1:5" ht="15" x14ac:dyDescent="0.25">
      <c r="A12" s="5" t="s">
        <v>12</v>
      </c>
      <c r="B12" s="6">
        <v>983802</v>
      </c>
      <c r="C12" s="6">
        <v>331963</v>
      </c>
      <c r="D12" s="6">
        <v>321087</v>
      </c>
      <c r="E12" s="6">
        <v>10876</v>
      </c>
    </row>
    <row r="13" spans="1:5" ht="15" x14ac:dyDescent="0.25">
      <c r="A13" s="5" t="s">
        <v>13</v>
      </c>
      <c r="B13" s="6">
        <v>13969126</v>
      </c>
      <c r="C13" s="6">
        <v>4548943</v>
      </c>
      <c r="D13" s="6">
        <v>4519896</v>
      </c>
      <c r="E13" s="6">
        <v>29047</v>
      </c>
    </row>
    <row r="14" spans="1:5" ht="15" x14ac:dyDescent="0.25">
      <c r="A14" s="5" t="s">
        <v>14</v>
      </c>
      <c r="B14" s="6">
        <v>1541034</v>
      </c>
      <c r="C14" s="6">
        <v>556813</v>
      </c>
      <c r="D14" s="6">
        <v>546717</v>
      </c>
      <c r="E14" s="6">
        <v>10096</v>
      </c>
    </row>
    <row r="15" spans="1:5" ht="15" x14ac:dyDescent="0.25">
      <c r="A15" s="5" t="s">
        <v>15</v>
      </c>
      <c r="B15" s="6">
        <v>1125052</v>
      </c>
      <c r="C15" s="6">
        <v>380973</v>
      </c>
      <c r="D15" s="6">
        <v>352046</v>
      </c>
      <c r="E15" s="6">
        <v>28927</v>
      </c>
    </row>
    <row r="16" spans="1:5" ht="15" x14ac:dyDescent="0.25">
      <c r="A16" s="5" t="s">
        <v>16</v>
      </c>
      <c r="B16" s="6">
        <v>261234</v>
      </c>
      <c r="C16" s="6">
        <v>81112</v>
      </c>
      <c r="D16" s="6">
        <v>12780</v>
      </c>
      <c r="E16" s="6">
        <v>68332</v>
      </c>
    </row>
    <row r="17" spans="1:5" ht="15" x14ac:dyDescent="0.25">
      <c r="A17" s="5" t="s">
        <v>17</v>
      </c>
      <c r="B17" s="6">
        <v>274064</v>
      </c>
      <c r="C17" s="6">
        <v>124851</v>
      </c>
      <c r="D17" s="6">
        <v>81137</v>
      </c>
      <c r="E17" s="6">
        <v>43714</v>
      </c>
    </row>
    <row r="18" spans="1:5" ht="15" x14ac:dyDescent="0.25">
      <c r="A18" s="5" t="s">
        <v>18</v>
      </c>
      <c r="B18" s="6">
        <v>5004984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2387406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36391</v>
      </c>
      <c r="C20" s="6">
        <v>4311</v>
      </c>
      <c r="D20" s="6" t="s">
        <v>8</v>
      </c>
      <c r="E20" s="6">
        <v>4311</v>
      </c>
    </row>
    <row r="21" spans="1:5" ht="15" x14ac:dyDescent="0.25">
      <c r="A21" s="5" t="s">
        <v>21</v>
      </c>
      <c r="B21" s="6">
        <v>434575</v>
      </c>
      <c r="C21" s="6">
        <v>167552</v>
      </c>
      <c r="D21" s="6">
        <v>29302</v>
      </c>
      <c r="E21" s="6">
        <v>138250</v>
      </c>
    </row>
    <row r="22" spans="1:5" ht="15" x14ac:dyDescent="0.25">
      <c r="A22" s="5" t="s">
        <v>22</v>
      </c>
      <c r="B22" s="6">
        <v>428906</v>
      </c>
      <c r="C22" s="6">
        <v>108678</v>
      </c>
      <c r="D22" s="6">
        <v>108678</v>
      </c>
      <c r="E22" s="6">
        <v>0</v>
      </c>
    </row>
    <row r="23" spans="1:5" ht="15" x14ac:dyDescent="0.25">
      <c r="A23" s="5" t="s">
        <v>23</v>
      </c>
      <c r="B23" s="6">
        <v>3168342</v>
      </c>
      <c r="C23" s="6">
        <v>903674</v>
      </c>
      <c r="D23" s="6">
        <v>802459</v>
      </c>
      <c r="E23" s="6">
        <v>101215</v>
      </c>
    </row>
    <row r="24" spans="1:5" ht="15" x14ac:dyDescent="0.25">
      <c r="A24" s="5" t="s">
        <v>24</v>
      </c>
      <c r="B24" s="6">
        <v>1859175</v>
      </c>
      <c r="C24" s="6">
        <v>520976</v>
      </c>
      <c r="D24" s="6">
        <v>520976</v>
      </c>
      <c r="E24" s="6">
        <v>0</v>
      </c>
    </row>
    <row r="25" spans="1:5" ht="15" x14ac:dyDescent="0.25">
      <c r="A25" s="5" t="s">
        <v>25</v>
      </c>
      <c r="B25" s="6">
        <v>730243</v>
      </c>
      <c r="C25" s="6">
        <v>236539</v>
      </c>
      <c r="D25" s="6">
        <v>192111</v>
      </c>
      <c r="E25" s="6">
        <v>44428</v>
      </c>
    </row>
    <row r="26" spans="1:5" ht="15" x14ac:dyDescent="0.25">
      <c r="A26" s="5" t="s">
        <v>26</v>
      </c>
      <c r="B26" s="6">
        <v>428870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1486781</v>
      </c>
      <c r="C27" s="6">
        <v>589158</v>
      </c>
      <c r="D27" s="6">
        <v>589158</v>
      </c>
      <c r="E27" s="6">
        <v>0</v>
      </c>
    </row>
    <row r="28" spans="1:5" ht="15" x14ac:dyDescent="0.25">
      <c r="A28" s="5" t="s">
        <v>28</v>
      </c>
      <c r="B28" s="6">
        <v>1921794</v>
      </c>
      <c r="C28" s="6">
        <v>698600</v>
      </c>
      <c r="D28" s="6">
        <v>698600</v>
      </c>
      <c r="E28" s="6">
        <v>0</v>
      </c>
    </row>
    <row r="29" spans="1:5" ht="15" x14ac:dyDescent="0.25">
      <c r="A29" s="5" t="s">
        <v>29</v>
      </c>
      <c r="B29" s="6">
        <v>359314</v>
      </c>
      <c r="C29" s="6">
        <v>91061</v>
      </c>
      <c r="D29" s="6">
        <v>71712</v>
      </c>
      <c r="E29" s="6">
        <v>19349</v>
      </c>
    </row>
    <row r="30" spans="1:5" ht="15" x14ac:dyDescent="0.25">
      <c r="A30" s="5" t="s">
        <v>30</v>
      </c>
      <c r="B30" s="6">
        <v>1477688</v>
      </c>
      <c r="C30" s="6">
        <v>414095</v>
      </c>
      <c r="D30" s="6">
        <v>414095</v>
      </c>
      <c r="E30" s="6">
        <v>0</v>
      </c>
    </row>
    <row r="31" spans="1:5" ht="15" x14ac:dyDescent="0.25">
      <c r="A31" s="5" t="s">
        <v>31</v>
      </c>
      <c r="B31" s="6">
        <v>1993041</v>
      </c>
      <c r="C31" s="6">
        <v>444326</v>
      </c>
      <c r="D31" s="6">
        <v>0</v>
      </c>
      <c r="E31" s="6">
        <v>444326</v>
      </c>
    </row>
    <row r="32" spans="1:5" ht="15" x14ac:dyDescent="0.25">
      <c r="A32" s="5" t="s">
        <v>32</v>
      </c>
      <c r="B32" s="6">
        <v>2875046</v>
      </c>
      <c r="C32" s="6">
        <v>954326</v>
      </c>
      <c r="D32" s="6">
        <v>892319</v>
      </c>
      <c r="E32" s="6">
        <v>62007</v>
      </c>
    </row>
    <row r="33" spans="1:5" ht="15" x14ac:dyDescent="0.25">
      <c r="A33" s="5" t="s">
        <v>33</v>
      </c>
      <c r="B33" s="6">
        <v>1278144</v>
      </c>
      <c r="C33" s="6">
        <v>269267</v>
      </c>
      <c r="D33" s="6">
        <v>269267</v>
      </c>
      <c r="E33" s="6">
        <v>0</v>
      </c>
    </row>
    <row r="34" spans="1:5" ht="15" x14ac:dyDescent="0.25">
      <c r="A34" s="5" t="s">
        <v>34</v>
      </c>
      <c r="B34" s="6">
        <v>789224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1113922</v>
      </c>
      <c r="C35" s="6">
        <v>14005</v>
      </c>
      <c r="D35" s="6">
        <v>14005</v>
      </c>
      <c r="E35" s="6">
        <v>0</v>
      </c>
    </row>
    <row r="36" spans="1:5" ht="15" x14ac:dyDescent="0.25">
      <c r="A36" s="5" t="s">
        <v>36</v>
      </c>
      <c r="B36" s="6">
        <v>284488</v>
      </c>
      <c r="C36" s="6">
        <v>109674</v>
      </c>
      <c r="D36" s="6">
        <v>109674</v>
      </c>
      <c r="E36" s="6">
        <v>0</v>
      </c>
    </row>
    <row r="37" spans="1:5" ht="15" x14ac:dyDescent="0.25">
      <c r="A37" s="5" t="s">
        <v>37</v>
      </c>
      <c r="B37" s="6">
        <v>15492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345296</v>
      </c>
      <c r="C38" s="6">
        <v>55182</v>
      </c>
      <c r="D38" s="6">
        <v>54094</v>
      </c>
      <c r="E38" s="6">
        <v>1088</v>
      </c>
    </row>
    <row r="39" spans="1:5" ht="15" x14ac:dyDescent="0.25">
      <c r="A39" s="5" t="s">
        <v>39</v>
      </c>
      <c r="B39" s="6">
        <v>768469</v>
      </c>
      <c r="C39" s="6">
        <v>324083</v>
      </c>
      <c r="D39" s="6">
        <v>324083</v>
      </c>
      <c r="E39" s="6">
        <v>0</v>
      </c>
    </row>
    <row r="40" spans="1:5" ht="15" x14ac:dyDescent="0.25">
      <c r="A40" s="5" t="s">
        <v>40</v>
      </c>
      <c r="B40" s="6">
        <v>224203</v>
      </c>
      <c r="C40" s="6">
        <v>82779</v>
      </c>
      <c r="D40" s="6">
        <v>82340</v>
      </c>
      <c r="E40" s="6">
        <v>439</v>
      </c>
    </row>
    <row r="41" spans="1:5" ht="15" x14ac:dyDescent="0.25">
      <c r="A41" s="5" t="s">
        <v>41</v>
      </c>
      <c r="B41" s="6">
        <v>1937015</v>
      </c>
      <c r="C41" s="6">
        <v>703369</v>
      </c>
      <c r="D41" s="6">
        <v>703369</v>
      </c>
      <c r="E41" s="6">
        <v>0</v>
      </c>
    </row>
    <row r="42" spans="1:5" ht="15" x14ac:dyDescent="0.25">
      <c r="A42" s="5" t="s">
        <v>42</v>
      </c>
      <c r="B42" s="6">
        <v>948018</v>
      </c>
      <c r="C42" s="6">
        <v>290980</v>
      </c>
      <c r="D42" s="6">
        <v>290980</v>
      </c>
      <c r="E42" s="6">
        <v>0</v>
      </c>
    </row>
    <row r="43" spans="1:5" ht="15" x14ac:dyDescent="0.25">
      <c r="A43" s="5" t="s">
        <v>43</v>
      </c>
      <c r="B43" s="6">
        <v>7262168</v>
      </c>
      <c r="C43" s="6">
        <v>2417675</v>
      </c>
      <c r="D43" s="6">
        <v>428096</v>
      </c>
      <c r="E43" s="6">
        <v>1989579</v>
      </c>
    </row>
    <row r="44" spans="1:5" ht="15" x14ac:dyDescent="0.25">
      <c r="A44" s="5" t="s">
        <v>44</v>
      </c>
      <c r="B44" s="6">
        <v>2622371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117098</v>
      </c>
      <c r="C45" s="6">
        <v>29606</v>
      </c>
      <c r="D45" s="6">
        <v>27915</v>
      </c>
      <c r="E45" s="6">
        <v>1691</v>
      </c>
    </row>
    <row r="46" spans="1:5" ht="15" x14ac:dyDescent="0.25">
      <c r="A46" s="5" t="s">
        <v>46</v>
      </c>
      <c r="B46" s="6">
        <v>3344806</v>
      </c>
      <c r="C46" s="6">
        <v>777250</v>
      </c>
      <c r="D46" s="6">
        <v>776998</v>
      </c>
      <c r="E46" s="6">
        <v>252</v>
      </c>
    </row>
    <row r="47" spans="1:5" ht="15" x14ac:dyDescent="0.25">
      <c r="A47" s="5" t="s">
        <v>47</v>
      </c>
      <c r="B47" s="6">
        <v>1051332</v>
      </c>
      <c r="C47" s="6">
        <v>207305</v>
      </c>
      <c r="D47" s="6">
        <v>207305</v>
      </c>
      <c r="E47" s="6">
        <v>0</v>
      </c>
    </row>
    <row r="48" spans="1:5" ht="15" x14ac:dyDescent="0.25">
      <c r="A48" s="5" t="s">
        <v>48</v>
      </c>
      <c r="B48" s="6">
        <v>1201156</v>
      </c>
      <c r="C48" s="6">
        <v>655653</v>
      </c>
      <c r="D48" s="6">
        <v>563252</v>
      </c>
      <c r="E48" s="6">
        <v>92401</v>
      </c>
    </row>
    <row r="49" spans="1:5" ht="15" x14ac:dyDescent="0.25">
      <c r="A49" s="5" t="s">
        <v>49</v>
      </c>
      <c r="B49" s="6">
        <v>3379340</v>
      </c>
      <c r="C49" s="6">
        <v>1069623</v>
      </c>
      <c r="D49" s="6">
        <v>1014011</v>
      </c>
      <c r="E49" s="6">
        <v>55612</v>
      </c>
    </row>
    <row r="50" spans="1:5" ht="15" x14ac:dyDescent="0.25">
      <c r="A50" s="5" t="s">
        <v>50</v>
      </c>
      <c r="B50" s="6">
        <v>1436680</v>
      </c>
      <c r="C50" s="6">
        <v>639601</v>
      </c>
      <c r="D50" s="6" t="s">
        <v>8</v>
      </c>
      <c r="E50" s="6">
        <v>639601</v>
      </c>
    </row>
    <row r="51" spans="1:5" ht="15" x14ac:dyDescent="0.25">
      <c r="A51" s="5" t="s">
        <v>51</v>
      </c>
      <c r="B51" s="6">
        <v>337840</v>
      </c>
      <c r="C51" s="6">
        <v>91218</v>
      </c>
      <c r="D51" s="6">
        <v>91218</v>
      </c>
      <c r="E51" s="6">
        <v>0</v>
      </c>
    </row>
    <row r="52" spans="1:5" ht="15" x14ac:dyDescent="0.25">
      <c r="A52" s="5" t="s">
        <v>52</v>
      </c>
      <c r="B52" s="6">
        <v>1464222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124380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1751497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5388823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453233</v>
      </c>
      <c r="C56" s="6">
        <v>106821</v>
      </c>
      <c r="D56" s="6">
        <v>105917</v>
      </c>
      <c r="E56" s="6">
        <v>904</v>
      </c>
    </row>
    <row r="57" spans="1:5" ht="15" x14ac:dyDescent="0.25">
      <c r="A57" s="5" t="s">
        <v>57</v>
      </c>
      <c r="B57" s="6">
        <v>194701</v>
      </c>
      <c r="C57" s="6">
        <v>71851</v>
      </c>
      <c r="D57" s="6">
        <v>0</v>
      </c>
      <c r="E57" s="6">
        <v>71851</v>
      </c>
    </row>
    <row r="58" spans="1:5" ht="15" x14ac:dyDescent="0.25">
      <c r="A58" s="5" t="s">
        <v>58</v>
      </c>
      <c r="B58" s="6">
        <v>35381</v>
      </c>
      <c r="C58" s="6">
        <v>17225</v>
      </c>
      <c r="D58" s="6" t="s">
        <v>8</v>
      </c>
      <c r="E58" s="6">
        <v>17225</v>
      </c>
    </row>
    <row r="59" spans="1:5" ht="15" x14ac:dyDescent="0.25">
      <c r="A59" s="5" t="s">
        <v>59</v>
      </c>
      <c r="B59" s="6">
        <v>1737760</v>
      </c>
      <c r="C59" s="6">
        <v>590167</v>
      </c>
      <c r="D59" s="6">
        <v>590167</v>
      </c>
      <c r="E59" s="6">
        <v>0</v>
      </c>
    </row>
    <row r="60" spans="1:5" ht="15" x14ac:dyDescent="0.25">
      <c r="A60" s="5" t="s">
        <v>60</v>
      </c>
      <c r="B60" s="6">
        <v>2037317</v>
      </c>
      <c r="C60" s="6">
        <v>757605</v>
      </c>
      <c r="D60" s="6">
        <v>741922</v>
      </c>
      <c r="E60" s="6">
        <v>15683</v>
      </c>
    </row>
    <row r="61" spans="1:5" ht="15" x14ac:dyDescent="0.25">
      <c r="A61" s="5" t="s">
        <v>61</v>
      </c>
      <c r="B61" s="6">
        <v>617695</v>
      </c>
      <c r="C61" s="6">
        <v>217308</v>
      </c>
      <c r="D61" s="6">
        <v>217308</v>
      </c>
      <c r="E61" s="6">
        <v>0</v>
      </c>
    </row>
    <row r="62" spans="1:5" ht="15" x14ac:dyDescent="0.25">
      <c r="A62" s="5" t="s">
        <v>62</v>
      </c>
      <c r="B62" s="6">
        <v>1448408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77111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90288880</v>
      </c>
      <c r="C64" s="8">
        <f>SUM(C8:C63)</f>
        <v>21361605</v>
      </c>
      <c r="D64" s="8">
        <f>SUM(D8:D63)</f>
        <v>17024441</v>
      </c>
      <c r="E64" s="8">
        <f>SUM(E8:E63)</f>
        <v>4337164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April 13, 2023 3:50 PM&amp;R&amp;"-,Regular"&amp;7Page : &amp;"-,Regular"&amp;7&amp;P&amp;"-,Regular"&amp;7 of &amp;"-,Regular"&amp;7&amp;N</oddFooter>
    <evenFooter>&amp;L&amp;"-,Regular"&amp;7Created On: Thursday, April 13, 2023 3:50 PM&amp;R&amp;"-,Regular"&amp;7Page : &amp;"-,Regular"&amp;7&amp;P&amp;"-,Regular"&amp;7 of &amp;"-,Regular"&amp;7&amp;N</evenFooter>
    <firstFooter>&amp;L&amp;"-,Regular"&amp;7Created On: Thursday, April 13, 2023 3:50 PM&amp;R&amp;"-,Regular"&amp;7Page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0967-AF0A-4E71-B6AC-3FCB4B057ADF}">
  <sheetPr>
    <pageSetUpPr fitToPage="1"/>
  </sheetPr>
  <dimension ref="A1:E89"/>
  <sheetViews>
    <sheetView workbookViewId="0">
      <pane ySplit="7" topLeftCell="A51" activePane="bottomLeft" state="frozenSplit"/>
      <selection activeCell="C99" sqref="C99"/>
      <selection pane="bottomLeft" activeCell="C99" sqref="C9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155</v>
      </c>
      <c r="B2" s="2"/>
      <c r="C2" s="2"/>
      <c r="D2" s="2"/>
      <c r="E2" s="2"/>
    </row>
    <row r="3" spans="1:5" ht="15" x14ac:dyDescent="0.25">
      <c r="A3" s="2" t="s">
        <v>153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2"/>
      <c r="B5" s="2"/>
      <c r="C5" s="2"/>
      <c r="D5" s="2"/>
      <c r="E5" s="2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1230457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247037</v>
      </c>
      <c r="C9" s="6">
        <v>69138</v>
      </c>
      <c r="D9" s="6">
        <v>69137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2266489</v>
      </c>
      <c r="C11" s="6">
        <v>643371</v>
      </c>
      <c r="D11" s="6">
        <v>190315</v>
      </c>
      <c r="E11" s="6">
        <v>453056</v>
      </c>
    </row>
    <row r="12" spans="1:5" ht="15" x14ac:dyDescent="0.25">
      <c r="A12" s="5" t="s">
        <v>12</v>
      </c>
      <c r="B12" s="6">
        <v>987769</v>
      </c>
      <c r="C12" s="6">
        <v>332457</v>
      </c>
      <c r="D12" s="6">
        <v>321084</v>
      </c>
      <c r="E12" s="6">
        <v>11373</v>
      </c>
    </row>
    <row r="13" spans="1:5" ht="15" x14ac:dyDescent="0.25">
      <c r="A13" s="5" t="s">
        <v>13</v>
      </c>
      <c r="B13" s="6">
        <v>13989762</v>
      </c>
      <c r="C13" s="6">
        <v>4571459</v>
      </c>
      <c r="D13" s="6">
        <v>4542210</v>
      </c>
      <c r="E13" s="6">
        <v>29249</v>
      </c>
    </row>
    <row r="14" spans="1:5" ht="15" x14ac:dyDescent="0.25">
      <c r="A14" s="5" t="s">
        <v>14</v>
      </c>
      <c r="B14" s="6">
        <v>1551929</v>
      </c>
      <c r="C14" s="6">
        <v>562343</v>
      </c>
      <c r="D14" s="6">
        <v>552247</v>
      </c>
      <c r="E14" s="6">
        <v>10096</v>
      </c>
    </row>
    <row r="15" spans="1:5" ht="15" x14ac:dyDescent="0.25">
      <c r="A15" s="5" t="s">
        <v>15</v>
      </c>
      <c r="B15" s="6">
        <v>1138476</v>
      </c>
      <c r="C15" s="6">
        <v>389585</v>
      </c>
      <c r="D15" s="6">
        <v>360354</v>
      </c>
      <c r="E15" s="6">
        <v>29231</v>
      </c>
    </row>
    <row r="16" spans="1:5" ht="15" x14ac:dyDescent="0.25">
      <c r="A16" s="5" t="s">
        <v>16</v>
      </c>
      <c r="B16" s="6">
        <v>263468</v>
      </c>
      <c r="C16" s="6">
        <v>81885</v>
      </c>
      <c r="D16" s="6">
        <v>12963</v>
      </c>
      <c r="E16" s="6">
        <v>68922</v>
      </c>
    </row>
    <row r="17" spans="1:5" ht="15" x14ac:dyDescent="0.25">
      <c r="A17" s="5" t="s">
        <v>17</v>
      </c>
      <c r="B17" s="6">
        <v>275119</v>
      </c>
      <c r="C17" s="6">
        <v>125269</v>
      </c>
      <c r="D17" s="6">
        <v>81534</v>
      </c>
      <c r="E17" s="6">
        <v>43735</v>
      </c>
    </row>
    <row r="18" spans="1:5" ht="15" x14ac:dyDescent="0.25">
      <c r="A18" s="5" t="s">
        <v>18</v>
      </c>
      <c r="B18" s="6">
        <v>5020145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2402537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36433</v>
      </c>
      <c r="C20" s="6">
        <v>4357</v>
      </c>
      <c r="D20" s="6" t="s">
        <v>8</v>
      </c>
      <c r="E20" s="6">
        <v>4357</v>
      </c>
    </row>
    <row r="21" spans="1:5" ht="15" x14ac:dyDescent="0.25">
      <c r="A21" s="5" t="s">
        <v>21</v>
      </c>
      <c r="B21" s="6">
        <v>436136</v>
      </c>
      <c r="C21" s="6">
        <v>168877</v>
      </c>
      <c r="D21" s="6">
        <v>29617</v>
      </c>
      <c r="E21" s="6">
        <v>139260</v>
      </c>
    </row>
    <row r="22" spans="1:5" ht="15" x14ac:dyDescent="0.25">
      <c r="A22" s="5" t="s">
        <v>22</v>
      </c>
      <c r="B22" s="6">
        <v>430352</v>
      </c>
      <c r="C22" s="6">
        <v>110132</v>
      </c>
      <c r="D22" s="6">
        <v>110132</v>
      </c>
      <c r="E22" s="6">
        <v>0</v>
      </c>
    </row>
    <row r="23" spans="1:5" ht="15" x14ac:dyDescent="0.25">
      <c r="A23" s="5" t="s">
        <v>23</v>
      </c>
      <c r="B23" s="6">
        <v>3189315</v>
      </c>
      <c r="C23" s="6">
        <v>913564</v>
      </c>
      <c r="D23" s="6">
        <v>812548</v>
      </c>
      <c r="E23" s="6">
        <v>101016</v>
      </c>
    </row>
    <row r="24" spans="1:5" ht="15" x14ac:dyDescent="0.25">
      <c r="A24" s="5" t="s">
        <v>24</v>
      </c>
      <c r="B24" s="6">
        <v>1869053</v>
      </c>
      <c r="C24" s="6">
        <v>527319</v>
      </c>
      <c r="D24" s="6">
        <v>527319</v>
      </c>
      <c r="E24" s="6">
        <v>0</v>
      </c>
    </row>
    <row r="25" spans="1:5" ht="15" x14ac:dyDescent="0.25">
      <c r="A25" s="5" t="s">
        <v>25</v>
      </c>
      <c r="B25" s="6">
        <v>735119</v>
      </c>
      <c r="C25" s="6">
        <v>238904</v>
      </c>
      <c r="D25" s="6">
        <v>192324</v>
      </c>
      <c r="E25" s="6">
        <v>46580</v>
      </c>
    </row>
    <row r="26" spans="1:5" ht="15" x14ac:dyDescent="0.25">
      <c r="A26" s="5" t="s">
        <v>26</v>
      </c>
      <c r="B26" s="6">
        <v>431754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1486648</v>
      </c>
      <c r="C27" s="6">
        <v>589157</v>
      </c>
      <c r="D27" s="6">
        <v>589157</v>
      </c>
      <c r="E27" s="6">
        <v>0</v>
      </c>
    </row>
    <row r="28" spans="1:5" ht="15" x14ac:dyDescent="0.25">
      <c r="A28" s="5" t="s">
        <v>28</v>
      </c>
      <c r="B28" s="6">
        <v>1928352</v>
      </c>
      <c r="C28" s="6">
        <v>706679</v>
      </c>
      <c r="D28" s="6">
        <v>706679</v>
      </c>
      <c r="E28" s="6">
        <v>0</v>
      </c>
    </row>
    <row r="29" spans="1:5" ht="15" x14ac:dyDescent="0.25">
      <c r="A29" s="5" t="s">
        <v>29</v>
      </c>
      <c r="B29" s="6">
        <v>356796</v>
      </c>
      <c r="C29" s="6">
        <v>91116</v>
      </c>
      <c r="D29" s="6">
        <v>72202</v>
      </c>
      <c r="E29" s="6">
        <v>18914</v>
      </c>
    </row>
    <row r="30" spans="1:5" ht="15" x14ac:dyDescent="0.25">
      <c r="A30" s="5" t="s">
        <v>30</v>
      </c>
      <c r="B30" s="6">
        <v>1485040</v>
      </c>
      <c r="C30" s="6">
        <v>417786</v>
      </c>
      <c r="D30" s="6">
        <v>417786</v>
      </c>
      <c r="E30" s="6">
        <v>0</v>
      </c>
    </row>
    <row r="31" spans="1:5" ht="15" x14ac:dyDescent="0.25">
      <c r="A31" s="5" t="s">
        <v>31</v>
      </c>
      <c r="B31" s="6">
        <v>2153737</v>
      </c>
      <c r="C31" s="6">
        <v>444597</v>
      </c>
      <c r="D31" s="6">
        <v>0</v>
      </c>
      <c r="E31" s="6">
        <v>444597</v>
      </c>
    </row>
    <row r="32" spans="1:5" ht="15" x14ac:dyDescent="0.25">
      <c r="A32" s="5" t="s">
        <v>32</v>
      </c>
      <c r="B32" s="6">
        <v>2889213</v>
      </c>
      <c r="C32" s="6">
        <v>962191</v>
      </c>
      <c r="D32" s="6">
        <v>899698</v>
      </c>
      <c r="E32" s="6">
        <v>62493</v>
      </c>
    </row>
    <row r="33" spans="1:5" ht="15" x14ac:dyDescent="0.25">
      <c r="A33" s="5" t="s">
        <v>33</v>
      </c>
      <c r="B33" s="6">
        <v>1281459</v>
      </c>
      <c r="C33" s="6">
        <v>271605</v>
      </c>
      <c r="D33" s="6">
        <v>271605</v>
      </c>
      <c r="E33" s="6">
        <v>0</v>
      </c>
    </row>
    <row r="34" spans="1:5" ht="15" x14ac:dyDescent="0.25">
      <c r="A34" s="5" t="s">
        <v>34</v>
      </c>
      <c r="B34" s="6">
        <v>792555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1128019</v>
      </c>
      <c r="C35" s="6">
        <v>20927</v>
      </c>
      <c r="D35" s="6">
        <v>20927</v>
      </c>
      <c r="E35" s="6">
        <v>0</v>
      </c>
    </row>
    <row r="36" spans="1:5" ht="15" x14ac:dyDescent="0.25">
      <c r="A36" s="5" t="s">
        <v>36</v>
      </c>
      <c r="B36" s="6">
        <v>286725</v>
      </c>
      <c r="C36" s="6">
        <v>111265</v>
      </c>
      <c r="D36" s="6">
        <v>111265</v>
      </c>
      <c r="E36" s="6">
        <v>0</v>
      </c>
    </row>
    <row r="37" spans="1:5" ht="15" x14ac:dyDescent="0.25">
      <c r="A37" s="5" t="s">
        <v>37</v>
      </c>
      <c r="B37" s="6">
        <v>15424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349543</v>
      </c>
      <c r="C38" s="6">
        <v>57704</v>
      </c>
      <c r="D38" s="6">
        <v>56539</v>
      </c>
      <c r="E38" s="6">
        <v>1165</v>
      </c>
    </row>
    <row r="39" spans="1:5" ht="15" x14ac:dyDescent="0.25">
      <c r="A39" s="5" t="s">
        <v>39</v>
      </c>
      <c r="B39" s="6">
        <v>774927</v>
      </c>
      <c r="C39" s="6">
        <v>327396</v>
      </c>
      <c r="D39" s="6">
        <v>327396</v>
      </c>
      <c r="E39" s="6">
        <v>0</v>
      </c>
    </row>
    <row r="40" spans="1:5" ht="15" x14ac:dyDescent="0.25">
      <c r="A40" s="5" t="s">
        <v>40</v>
      </c>
      <c r="B40" s="6">
        <v>226036</v>
      </c>
      <c r="C40" s="6">
        <v>84273</v>
      </c>
      <c r="D40" s="6">
        <v>83838</v>
      </c>
      <c r="E40" s="6">
        <v>435</v>
      </c>
    </row>
    <row r="41" spans="1:5" ht="15" x14ac:dyDescent="0.25">
      <c r="A41" s="5" t="s">
        <v>41</v>
      </c>
      <c r="B41" s="6">
        <v>1949845</v>
      </c>
      <c r="C41" s="6">
        <v>709432</v>
      </c>
      <c r="D41" s="6">
        <v>709432</v>
      </c>
      <c r="E41" s="6">
        <v>0</v>
      </c>
    </row>
    <row r="42" spans="1:5" ht="15" x14ac:dyDescent="0.25">
      <c r="A42" s="5" t="s">
        <v>42</v>
      </c>
      <c r="B42" s="6">
        <v>951923</v>
      </c>
      <c r="C42" s="6">
        <v>291223</v>
      </c>
      <c r="D42" s="6">
        <v>291223</v>
      </c>
      <c r="E42" s="6">
        <v>0</v>
      </c>
    </row>
    <row r="43" spans="1:5" ht="15" x14ac:dyDescent="0.25">
      <c r="A43" s="5" t="s">
        <v>43</v>
      </c>
      <c r="B43" s="6">
        <v>7301148</v>
      </c>
      <c r="C43" s="6">
        <v>2441864</v>
      </c>
      <c r="D43" s="6">
        <v>444346</v>
      </c>
      <c r="E43" s="6">
        <v>1997518</v>
      </c>
    </row>
    <row r="44" spans="1:5" ht="15" x14ac:dyDescent="0.25">
      <c r="A44" s="5" t="s">
        <v>44</v>
      </c>
      <c r="B44" s="6">
        <v>2647416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118158</v>
      </c>
      <c r="C45" s="6">
        <v>30089</v>
      </c>
      <c r="D45" s="6">
        <v>28369</v>
      </c>
      <c r="E45" s="6">
        <v>1720</v>
      </c>
    </row>
    <row r="46" spans="1:5" ht="15" x14ac:dyDescent="0.25">
      <c r="A46" s="5" t="s">
        <v>46</v>
      </c>
      <c r="B46" s="6">
        <v>3365113</v>
      </c>
      <c r="C46" s="6">
        <v>788492</v>
      </c>
      <c r="D46" s="6">
        <v>788244</v>
      </c>
      <c r="E46" s="6">
        <v>248</v>
      </c>
    </row>
    <row r="47" spans="1:5" ht="15" x14ac:dyDescent="0.25">
      <c r="A47" s="5" t="s">
        <v>47</v>
      </c>
      <c r="B47" s="6">
        <v>1060520</v>
      </c>
      <c r="C47" s="6">
        <v>222466</v>
      </c>
      <c r="D47" s="6">
        <v>222466</v>
      </c>
      <c r="E47" s="6">
        <v>0</v>
      </c>
    </row>
    <row r="48" spans="1:5" ht="15" x14ac:dyDescent="0.25">
      <c r="A48" s="5" t="s">
        <v>48</v>
      </c>
      <c r="B48" s="6">
        <v>1207299</v>
      </c>
      <c r="C48" s="6">
        <v>662700</v>
      </c>
      <c r="D48" s="6">
        <v>568334</v>
      </c>
      <c r="E48" s="6">
        <v>94366</v>
      </c>
    </row>
    <row r="49" spans="1:5" ht="15" x14ac:dyDescent="0.25">
      <c r="A49" s="5" t="s">
        <v>49</v>
      </c>
      <c r="B49" s="6">
        <v>3404246</v>
      </c>
      <c r="C49" s="6">
        <v>1075849</v>
      </c>
      <c r="D49" s="6">
        <v>1019051</v>
      </c>
      <c r="E49" s="6">
        <v>56798</v>
      </c>
    </row>
    <row r="50" spans="1:5" ht="15" x14ac:dyDescent="0.25">
      <c r="A50" s="5" t="s">
        <v>50</v>
      </c>
      <c r="B50" s="6">
        <v>1438256</v>
      </c>
      <c r="C50" s="6">
        <v>640865</v>
      </c>
      <c r="D50" s="6" t="s">
        <v>8</v>
      </c>
      <c r="E50" s="6">
        <v>640865</v>
      </c>
    </row>
    <row r="51" spans="1:5" ht="15" x14ac:dyDescent="0.25">
      <c r="A51" s="5" t="s">
        <v>51</v>
      </c>
      <c r="B51" s="6">
        <v>339294</v>
      </c>
      <c r="C51" s="6">
        <v>92023</v>
      </c>
      <c r="D51" s="6">
        <v>92023</v>
      </c>
      <c r="E51" s="6">
        <v>0</v>
      </c>
    </row>
    <row r="52" spans="1:5" ht="15" x14ac:dyDescent="0.25">
      <c r="A52" s="5" t="s">
        <v>52</v>
      </c>
      <c r="B52" s="6">
        <v>1473539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125290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1758570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5441180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458894</v>
      </c>
      <c r="C56" s="6">
        <v>109840</v>
      </c>
      <c r="D56" s="6">
        <v>108892</v>
      </c>
      <c r="E56" s="6">
        <v>948</v>
      </c>
    </row>
    <row r="57" spans="1:5" ht="15" x14ac:dyDescent="0.25">
      <c r="A57" s="5" t="s">
        <v>57</v>
      </c>
      <c r="B57" s="6">
        <v>195222</v>
      </c>
      <c r="C57" s="6">
        <v>72057</v>
      </c>
      <c r="D57" s="6">
        <v>0</v>
      </c>
      <c r="E57" s="6">
        <v>72057</v>
      </c>
    </row>
    <row r="58" spans="1:5" ht="15" x14ac:dyDescent="0.25">
      <c r="A58" s="5" t="s">
        <v>58</v>
      </c>
      <c r="B58" s="6">
        <v>35515</v>
      </c>
      <c r="C58" s="6">
        <v>17287</v>
      </c>
      <c r="D58" s="6" t="s">
        <v>8</v>
      </c>
      <c r="E58" s="6">
        <v>17287</v>
      </c>
    </row>
    <row r="59" spans="1:5" ht="15" x14ac:dyDescent="0.25">
      <c r="A59" s="5" t="s">
        <v>59</v>
      </c>
      <c r="B59" s="6">
        <v>1751110</v>
      </c>
      <c r="C59" s="6">
        <v>597685</v>
      </c>
      <c r="D59" s="6">
        <v>597685</v>
      </c>
      <c r="E59" s="6">
        <v>0</v>
      </c>
    </row>
    <row r="60" spans="1:5" ht="15" x14ac:dyDescent="0.25">
      <c r="A60" s="5" t="s">
        <v>60</v>
      </c>
      <c r="B60" s="6">
        <v>2050624</v>
      </c>
      <c r="C60" s="6">
        <v>767321</v>
      </c>
      <c r="D60" s="6">
        <v>751693</v>
      </c>
      <c r="E60" s="6">
        <v>15628</v>
      </c>
    </row>
    <row r="61" spans="1:5" ht="15" x14ac:dyDescent="0.25">
      <c r="A61" s="5" t="s">
        <v>61</v>
      </c>
      <c r="B61" s="6">
        <v>619922</v>
      </c>
      <c r="C61" s="6">
        <v>219031</v>
      </c>
      <c r="D61" s="6">
        <v>219031</v>
      </c>
      <c r="E61" s="6">
        <v>0</v>
      </c>
    </row>
    <row r="62" spans="1:5" ht="15" x14ac:dyDescent="0.25">
      <c r="A62" s="5" t="s">
        <v>62</v>
      </c>
      <c r="B62" s="6">
        <v>1459552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77021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90916915</v>
      </c>
      <c r="C64" s="8">
        <f>SUM(C8:C63)</f>
        <v>21561580</v>
      </c>
      <c r="D64" s="8">
        <f>SUM(D8:D63)</f>
        <v>17199665</v>
      </c>
      <c r="E64" s="8">
        <f>SUM(E8:E63)</f>
        <v>4361915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April 13, 2023 3:50 PM&amp;R&amp;"-,Regular"&amp;7Page : &amp;"-,Regular"&amp;7&amp;P&amp;"-,Regular"&amp;7 of &amp;"-,Regular"&amp;7&amp;N</oddFooter>
    <evenFooter>&amp;L&amp;"-,Regular"&amp;7Created On: Thursday, April 13, 2023 3:50 PM&amp;R&amp;"-,Regular"&amp;7Page : &amp;"-,Regular"&amp;7&amp;P&amp;"-,Regular"&amp;7 of &amp;"-,Regular"&amp;7&amp;N</evenFooter>
    <firstFooter>&amp;L&amp;"-,Regular"&amp;7Created On: Thursday, April 13, 2023 3:50 PM&amp;R&amp;"-,Regular"&amp;7Page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E76C-9408-406A-8F6E-57B9799F8226}">
  <sheetPr>
    <pageSetUpPr fitToPage="1"/>
  </sheetPr>
  <dimension ref="A1:E89"/>
  <sheetViews>
    <sheetView workbookViewId="0">
      <pane ySplit="7" topLeftCell="A8" activePane="bottomLeft" state="frozenSplit"/>
      <selection activeCell="C99" sqref="C99"/>
      <selection pane="bottomLeft" activeCell="C99" sqref="C9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156</v>
      </c>
      <c r="B2" s="2"/>
      <c r="C2" s="2"/>
      <c r="D2" s="2"/>
      <c r="E2" s="2"/>
    </row>
    <row r="3" spans="1:5" ht="15" x14ac:dyDescent="0.25">
      <c r="A3" s="2" t="s">
        <v>153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2"/>
      <c r="B5" s="2"/>
      <c r="C5" s="2"/>
      <c r="D5" s="2"/>
      <c r="E5" s="2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1238719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248305</v>
      </c>
      <c r="C9" s="6">
        <v>69735</v>
      </c>
      <c r="D9" s="6">
        <v>69734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2278008</v>
      </c>
      <c r="C11" s="6">
        <v>648920</v>
      </c>
      <c r="D11" s="6">
        <v>190210</v>
      </c>
      <c r="E11" s="6">
        <v>458710</v>
      </c>
    </row>
    <row r="12" spans="1:5" ht="15" x14ac:dyDescent="0.25">
      <c r="A12" s="5" t="s">
        <v>12</v>
      </c>
      <c r="B12" s="6">
        <v>991277</v>
      </c>
      <c r="C12" s="6">
        <v>333462</v>
      </c>
      <c r="D12" s="6">
        <v>321419</v>
      </c>
      <c r="E12" s="6">
        <v>12043</v>
      </c>
    </row>
    <row r="13" spans="1:5" ht="15" x14ac:dyDescent="0.25">
      <c r="A13" s="5" t="s">
        <v>13</v>
      </c>
      <c r="B13" s="6">
        <v>13979710</v>
      </c>
      <c r="C13" s="6">
        <v>4586452</v>
      </c>
      <c r="D13" s="6">
        <v>4557170</v>
      </c>
      <c r="E13" s="6">
        <v>29282</v>
      </c>
    </row>
    <row r="14" spans="1:5" ht="15" x14ac:dyDescent="0.25">
      <c r="A14" s="5" t="s">
        <v>14</v>
      </c>
      <c r="B14" s="6">
        <v>1562537</v>
      </c>
      <c r="C14" s="6">
        <v>567800</v>
      </c>
      <c r="D14" s="6">
        <v>557818</v>
      </c>
      <c r="E14" s="6">
        <v>9982</v>
      </c>
    </row>
    <row r="15" spans="1:5" ht="15" x14ac:dyDescent="0.25">
      <c r="A15" s="5" t="s">
        <v>15</v>
      </c>
      <c r="B15" s="6">
        <v>1133704</v>
      </c>
      <c r="C15" s="6">
        <v>391300</v>
      </c>
      <c r="D15" s="6">
        <v>361721</v>
      </c>
      <c r="E15" s="6">
        <v>29579</v>
      </c>
    </row>
    <row r="16" spans="1:5" ht="15" x14ac:dyDescent="0.25">
      <c r="A16" s="5" t="s">
        <v>16</v>
      </c>
      <c r="B16" s="6">
        <v>265973</v>
      </c>
      <c r="C16" s="6">
        <v>83029</v>
      </c>
      <c r="D16" s="6">
        <v>13085</v>
      </c>
      <c r="E16" s="6">
        <v>69944</v>
      </c>
    </row>
    <row r="17" spans="1:5" ht="15" x14ac:dyDescent="0.25">
      <c r="A17" s="5" t="s">
        <v>17</v>
      </c>
      <c r="B17" s="6">
        <v>276538</v>
      </c>
      <c r="C17" s="6">
        <v>126303</v>
      </c>
      <c r="D17" s="6">
        <v>82481</v>
      </c>
      <c r="E17" s="6">
        <v>43822</v>
      </c>
    </row>
    <row r="18" spans="1:5" ht="15" x14ac:dyDescent="0.25">
      <c r="A18" s="5" t="s">
        <v>18</v>
      </c>
      <c r="B18" s="6">
        <v>5000445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2418847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36502</v>
      </c>
      <c r="C20" s="6">
        <v>4379</v>
      </c>
      <c r="D20" s="6" t="s">
        <v>8</v>
      </c>
      <c r="E20" s="6">
        <v>4379</v>
      </c>
    </row>
    <row r="21" spans="1:5" ht="15" x14ac:dyDescent="0.25">
      <c r="A21" s="5" t="s">
        <v>21</v>
      </c>
      <c r="B21" s="6">
        <v>438925</v>
      </c>
      <c r="C21" s="6">
        <v>171090</v>
      </c>
      <c r="D21" s="6">
        <v>29985</v>
      </c>
      <c r="E21" s="6">
        <v>141105</v>
      </c>
    </row>
    <row r="22" spans="1:5" ht="15" x14ac:dyDescent="0.25">
      <c r="A22" s="5" t="s">
        <v>22</v>
      </c>
      <c r="B22" s="6">
        <v>432224</v>
      </c>
      <c r="C22" s="6">
        <v>111610</v>
      </c>
      <c r="D22" s="6">
        <v>111610</v>
      </c>
      <c r="E22" s="6">
        <v>0</v>
      </c>
    </row>
    <row r="23" spans="1:5" ht="15" x14ac:dyDescent="0.25">
      <c r="A23" s="5" t="s">
        <v>23</v>
      </c>
      <c r="B23" s="6">
        <v>3209446</v>
      </c>
      <c r="C23" s="6">
        <v>923566</v>
      </c>
      <c r="D23" s="6">
        <v>822910</v>
      </c>
      <c r="E23" s="6">
        <v>100656</v>
      </c>
    </row>
    <row r="24" spans="1:5" ht="15" x14ac:dyDescent="0.25">
      <c r="A24" s="5" t="s">
        <v>24</v>
      </c>
      <c r="B24" s="6">
        <v>1870346</v>
      </c>
      <c r="C24" s="6">
        <v>528187</v>
      </c>
      <c r="D24" s="6">
        <v>528187</v>
      </c>
      <c r="E24" s="6">
        <v>0</v>
      </c>
    </row>
    <row r="25" spans="1:5" ht="15" x14ac:dyDescent="0.25">
      <c r="A25" s="5" t="s">
        <v>25</v>
      </c>
      <c r="B25" s="6">
        <v>737841</v>
      </c>
      <c r="C25" s="6">
        <v>241632</v>
      </c>
      <c r="D25" s="6">
        <v>192688</v>
      </c>
      <c r="E25" s="6">
        <v>48944</v>
      </c>
    </row>
    <row r="26" spans="1:5" ht="15" x14ac:dyDescent="0.25">
      <c r="A26" s="5" t="s">
        <v>26</v>
      </c>
      <c r="B26" s="6">
        <v>435150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1485562</v>
      </c>
      <c r="C27" s="6">
        <v>589106</v>
      </c>
      <c r="D27" s="6">
        <v>589106</v>
      </c>
      <c r="E27" s="6">
        <v>0</v>
      </c>
    </row>
    <row r="28" spans="1:5" ht="15" x14ac:dyDescent="0.25">
      <c r="A28" s="5" t="s">
        <v>28</v>
      </c>
      <c r="B28" s="6">
        <v>1933442</v>
      </c>
      <c r="C28" s="6">
        <v>712300</v>
      </c>
      <c r="D28" s="6">
        <v>712300</v>
      </c>
      <c r="E28" s="6">
        <v>0</v>
      </c>
    </row>
    <row r="29" spans="1:5" ht="15" x14ac:dyDescent="0.25">
      <c r="A29" s="5" t="s">
        <v>29</v>
      </c>
      <c r="B29" s="6">
        <v>360287</v>
      </c>
      <c r="C29" s="6">
        <v>93396</v>
      </c>
      <c r="D29" s="6">
        <v>74104</v>
      </c>
      <c r="E29" s="6">
        <v>19292</v>
      </c>
    </row>
    <row r="30" spans="1:5" ht="15" x14ac:dyDescent="0.25">
      <c r="A30" s="5" t="s">
        <v>30</v>
      </c>
      <c r="B30" s="6">
        <v>1492585</v>
      </c>
      <c r="C30" s="6">
        <v>422497</v>
      </c>
      <c r="D30" s="6">
        <v>422497</v>
      </c>
      <c r="E30" s="6">
        <v>0</v>
      </c>
    </row>
    <row r="31" spans="1:5" ht="15" x14ac:dyDescent="0.25">
      <c r="A31" s="5" t="s">
        <v>31</v>
      </c>
      <c r="B31" s="6">
        <v>2019043</v>
      </c>
      <c r="C31" s="6">
        <v>453471</v>
      </c>
      <c r="D31" s="6">
        <v>0</v>
      </c>
      <c r="E31" s="6">
        <v>453471</v>
      </c>
    </row>
    <row r="32" spans="1:5" ht="15" x14ac:dyDescent="0.25">
      <c r="A32" s="5" t="s">
        <v>32</v>
      </c>
      <c r="B32" s="6">
        <v>2908356</v>
      </c>
      <c r="C32" s="6">
        <v>971998</v>
      </c>
      <c r="D32" s="6">
        <v>909021</v>
      </c>
      <c r="E32" s="6">
        <v>62977</v>
      </c>
    </row>
    <row r="33" spans="1:5" ht="15" x14ac:dyDescent="0.25">
      <c r="A33" s="5" t="s">
        <v>33</v>
      </c>
      <c r="B33" s="6">
        <v>1282676</v>
      </c>
      <c r="C33" s="6">
        <v>273838</v>
      </c>
      <c r="D33" s="6">
        <v>273838</v>
      </c>
      <c r="E33" s="6">
        <v>0</v>
      </c>
    </row>
    <row r="34" spans="1:5" ht="15" x14ac:dyDescent="0.25">
      <c r="A34" s="5" t="s">
        <v>34</v>
      </c>
      <c r="B34" s="6">
        <v>796318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1164320</v>
      </c>
      <c r="C35" s="6">
        <v>53643</v>
      </c>
      <c r="D35" s="6">
        <v>53643</v>
      </c>
      <c r="E35" s="6">
        <v>0</v>
      </c>
    </row>
    <row r="36" spans="1:5" ht="15" x14ac:dyDescent="0.25">
      <c r="A36" s="5" t="s">
        <v>36</v>
      </c>
      <c r="B36" s="6">
        <v>289841</v>
      </c>
      <c r="C36" s="6">
        <v>113074</v>
      </c>
      <c r="D36" s="6">
        <v>113074</v>
      </c>
      <c r="E36" s="6">
        <v>0</v>
      </c>
    </row>
    <row r="37" spans="1:5" ht="15" x14ac:dyDescent="0.25">
      <c r="A37" s="5" t="s">
        <v>37</v>
      </c>
      <c r="B37" s="6">
        <v>15277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354199</v>
      </c>
      <c r="C38" s="6">
        <v>60633</v>
      </c>
      <c r="D38" s="6">
        <v>59414</v>
      </c>
      <c r="E38" s="6">
        <v>1219</v>
      </c>
    </row>
    <row r="39" spans="1:5" ht="15" x14ac:dyDescent="0.25">
      <c r="A39" s="5" t="s">
        <v>39</v>
      </c>
      <c r="B39" s="6">
        <v>780806</v>
      </c>
      <c r="C39" s="6">
        <v>331444</v>
      </c>
      <c r="D39" s="6">
        <v>331444</v>
      </c>
      <c r="E39" s="6">
        <v>0</v>
      </c>
    </row>
    <row r="40" spans="1:5" ht="15" x14ac:dyDescent="0.25">
      <c r="A40" s="5" t="s">
        <v>40</v>
      </c>
      <c r="B40" s="6">
        <v>227798</v>
      </c>
      <c r="C40" s="6">
        <v>85818</v>
      </c>
      <c r="D40" s="6">
        <v>85365</v>
      </c>
      <c r="E40" s="6">
        <v>453</v>
      </c>
    </row>
    <row r="41" spans="1:5" ht="15" x14ac:dyDescent="0.25">
      <c r="A41" s="5" t="s">
        <v>41</v>
      </c>
      <c r="B41" s="6">
        <v>1965455</v>
      </c>
      <c r="C41" s="6">
        <v>717024</v>
      </c>
      <c r="D41" s="6">
        <v>717024</v>
      </c>
      <c r="E41" s="6">
        <v>0</v>
      </c>
    </row>
    <row r="42" spans="1:5" ht="15" x14ac:dyDescent="0.25">
      <c r="A42" s="5" t="s">
        <v>42</v>
      </c>
      <c r="B42" s="6">
        <v>953879</v>
      </c>
      <c r="C42" s="6">
        <v>291076</v>
      </c>
      <c r="D42" s="6">
        <v>291076</v>
      </c>
      <c r="E42" s="6">
        <v>0</v>
      </c>
    </row>
    <row r="43" spans="1:5" ht="15" x14ac:dyDescent="0.25">
      <c r="A43" s="5" t="s">
        <v>43</v>
      </c>
      <c r="B43" s="6">
        <v>7335813</v>
      </c>
      <c r="C43" s="6">
        <v>2445278</v>
      </c>
      <c r="D43" s="6">
        <v>429996</v>
      </c>
      <c r="E43" s="6">
        <v>2015282</v>
      </c>
    </row>
    <row r="44" spans="1:5" ht="15" x14ac:dyDescent="0.25">
      <c r="A44" s="5" t="s">
        <v>44</v>
      </c>
      <c r="B44" s="6">
        <v>2673196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119656</v>
      </c>
      <c r="C45" s="6">
        <v>30622</v>
      </c>
      <c r="D45" s="6">
        <v>28888</v>
      </c>
      <c r="E45" s="6">
        <v>1734</v>
      </c>
    </row>
    <row r="46" spans="1:5" ht="15" x14ac:dyDescent="0.25">
      <c r="A46" s="5" t="s">
        <v>46</v>
      </c>
      <c r="B46" s="6">
        <v>3383770</v>
      </c>
      <c r="C46" s="6">
        <v>798591</v>
      </c>
      <c r="D46" s="6">
        <v>798337</v>
      </c>
      <c r="E46" s="6">
        <v>254</v>
      </c>
    </row>
    <row r="47" spans="1:5" ht="15" x14ac:dyDescent="0.25">
      <c r="A47" s="5" t="s">
        <v>47</v>
      </c>
      <c r="B47" s="6">
        <v>1062275</v>
      </c>
      <c r="C47" s="6">
        <v>236178</v>
      </c>
      <c r="D47" s="6">
        <v>236178</v>
      </c>
      <c r="E47" s="6">
        <v>0</v>
      </c>
    </row>
    <row r="48" spans="1:5" ht="15" x14ac:dyDescent="0.25">
      <c r="A48" s="5" t="s">
        <v>48</v>
      </c>
      <c r="B48" s="6">
        <v>1210643</v>
      </c>
      <c r="C48" s="6">
        <v>668506</v>
      </c>
      <c r="D48" s="6">
        <v>572918</v>
      </c>
      <c r="E48" s="6">
        <v>95588</v>
      </c>
    </row>
    <row r="49" spans="1:5" ht="15" x14ac:dyDescent="0.25">
      <c r="A49" s="5" t="s">
        <v>49</v>
      </c>
      <c r="B49" s="6">
        <v>3423654</v>
      </c>
      <c r="C49" s="6">
        <v>1083651</v>
      </c>
      <c r="D49" s="6">
        <v>1026138</v>
      </c>
      <c r="E49" s="6">
        <v>57513</v>
      </c>
    </row>
    <row r="50" spans="1:5" ht="15" x14ac:dyDescent="0.25">
      <c r="A50" s="5" t="s">
        <v>50</v>
      </c>
      <c r="B50" s="6">
        <v>1440751</v>
      </c>
      <c r="C50" s="6">
        <v>642573</v>
      </c>
      <c r="D50" s="6" t="s">
        <v>8</v>
      </c>
      <c r="E50" s="6">
        <v>642573</v>
      </c>
    </row>
    <row r="51" spans="1:5" ht="15" x14ac:dyDescent="0.25">
      <c r="A51" s="5" t="s">
        <v>51</v>
      </c>
      <c r="B51" s="6">
        <v>339405</v>
      </c>
      <c r="C51" s="6">
        <v>92465</v>
      </c>
      <c r="D51" s="6">
        <v>92465</v>
      </c>
      <c r="E51" s="6">
        <v>0</v>
      </c>
    </row>
    <row r="52" spans="1:5" ht="15" x14ac:dyDescent="0.25">
      <c r="A52" s="5" t="s">
        <v>52</v>
      </c>
      <c r="B52" s="6">
        <v>1484458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126218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1764508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5485623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464435</v>
      </c>
      <c r="C56" s="6">
        <v>112872</v>
      </c>
      <c r="D56" s="6">
        <v>111892</v>
      </c>
      <c r="E56" s="6">
        <v>980</v>
      </c>
    </row>
    <row r="57" spans="1:5" ht="15" x14ac:dyDescent="0.25">
      <c r="A57" s="5" t="s">
        <v>57</v>
      </c>
      <c r="B57" s="6">
        <v>196063</v>
      </c>
      <c r="C57" s="6">
        <v>72440</v>
      </c>
      <c r="D57" s="6">
        <v>0</v>
      </c>
      <c r="E57" s="6">
        <v>72440</v>
      </c>
    </row>
    <row r="58" spans="1:5" ht="15" x14ac:dyDescent="0.25">
      <c r="A58" s="5" t="s">
        <v>58</v>
      </c>
      <c r="B58" s="6">
        <v>35623</v>
      </c>
      <c r="C58" s="6">
        <v>17368</v>
      </c>
      <c r="D58" s="6" t="s">
        <v>8</v>
      </c>
      <c r="E58" s="6">
        <v>17368</v>
      </c>
    </row>
    <row r="59" spans="1:5" ht="15" x14ac:dyDescent="0.25">
      <c r="A59" s="5" t="s">
        <v>59</v>
      </c>
      <c r="B59" s="6">
        <v>1768520</v>
      </c>
      <c r="C59" s="6">
        <v>610729</v>
      </c>
      <c r="D59" s="6">
        <v>610729</v>
      </c>
      <c r="E59" s="6">
        <v>0</v>
      </c>
    </row>
    <row r="60" spans="1:5" ht="15" x14ac:dyDescent="0.25">
      <c r="A60" s="5" t="s">
        <v>60</v>
      </c>
      <c r="B60" s="6">
        <v>2054833</v>
      </c>
      <c r="C60" s="6">
        <v>774063</v>
      </c>
      <c r="D60" s="6">
        <v>758809</v>
      </c>
      <c r="E60" s="6">
        <v>15254</v>
      </c>
    </row>
    <row r="61" spans="1:5" ht="15" x14ac:dyDescent="0.25">
      <c r="A61" s="5" t="s">
        <v>61</v>
      </c>
      <c r="B61" s="6">
        <v>623535</v>
      </c>
      <c r="C61" s="6">
        <v>221371</v>
      </c>
      <c r="D61" s="6">
        <v>221371</v>
      </c>
      <c r="E61" s="6">
        <v>0</v>
      </c>
    </row>
    <row r="62" spans="1:5" ht="15" x14ac:dyDescent="0.25">
      <c r="A62" s="5" t="s">
        <v>62</v>
      </c>
      <c r="B62" s="6">
        <v>1469203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74667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91152624</v>
      </c>
      <c r="C64" s="8">
        <f>SUM(C8:C63)</f>
        <v>21763490</v>
      </c>
      <c r="D64" s="8">
        <f>SUM(D8:D63)</f>
        <v>17358645</v>
      </c>
      <c r="E64" s="8">
        <f>SUM(E8:E63)</f>
        <v>4404845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April 13, 2023 3:50 PM&amp;R&amp;"-,Regular"&amp;7Page : &amp;"-,Regular"&amp;7&amp;P&amp;"-,Regular"&amp;7 of &amp;"-,Regular"&amp;7&amp;N</oddFooter>
    <evenFooter>&amp;L&amp;"-,Regular"&amp;7Created On: Thursday, April 13, 2023 3:50 PM&amp;R&amp;"-,Regular"&amp;7Page : &amp;"-,Regular"&amp;7&amp;P&amp;"-,Regular"&amp;7 of &amp;"-,Regular"&amp;7&amp;N</evenFooter>
    <firstFooter>&amp;L&amp;"-,Regular"&amp;7Created On: Thursday, April 13, 2023 3:50 PM&amp;R&amp;"-,Regular"&amp;7Page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064A-844D-4715-A961-02DFFDF9FF2D}">
  <sheetPr>
    <pageSetUpPr fitToPage="1"/>
  </sheetPr>
  <dimension ref="A1:E90"/>
  <sheetViews>
    <sheetView workbookViewId="0">
      <pane ySplit="7" topLeftCell="A8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159</v>
      </c>
      <c r="B2" s="2"/>
      <c r="C2" s="2"/>
      <c r="D2" s="2"/>
      <c r="E2" s="2"/>
    </row>
    <row r="3" spans="1:5" ht="15" x14ac:dyDescent="0.25">
      <c r="A3" s="2" t="s">
        <v>158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1247431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249589</v>
      </c>
      <c r="C9" s="6">
        <v>70118</v>
      </c>
      <c r="D9" s="6">
        <v>70117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2288355</v>
      </c>
      <c r="C11" s="6">
        <v>653855</v>
      </c>
      <c r="D11" s="6">
        <v>190216</v>
      </c>
      <c r="E11" s="6">
        <v>463639</v>
      </c>
    </row>
    <row r="12" spans="1:5" ht="15" x14ac:dyDescent="0.25">
      <c r="A12" s="5" t="s">
        <v>12</v>
      </c>
      <c r="B12" s="6">
        <v>999654</v>
      </c>
      <c r="C12" s="6">
        <v>335019</v>
      </c>
      <c r="D12" s="6">
        <v>326301</v>
      </c>
      <c r="E12" s="6">
        <v>8718</v>
      </c>
    </row>
    <row r="13" spans="1:5" ht="15" x14ac:dyDescent="0.25">
      <c r="A13" s="5" t="s">
        <v>13</v>
      </c>
      <c r="B13" s="6">
        <v>14175338</v>
      </c>
      <c r="C13" s="6">
        <v>4670721</v>
      </c>
      <c r="D13" s="6">
        <v>4641315</v>
      </c>
      <c r="E13" s="6">
        <v>29406</v>
      </c>
    </row>
    <row r="14" spans="1:5" ht="15" x14ac:dyDescent="0.25">
      <c r="A14" s="5" t="s">
        <v>14</v>
      </c>
      <c r="B14" s="6">
        <v>1577582</v>
      </c>
      <c r="C14" s="6">
        <v>575567</v>
      </c>
      <c r="D14" s="6">
        <v>565111</v>
      </c>
      <c r="E14" s="6">
        <v>10456</v>
      </c>
    </row>
    <row r="15" spans="1:5" ht="15" x14ac:dyDescent="0.25">
      <c r="A15" s="5" t="s">
        <v>15</v>
      </c>
      <c r="B15" s="6">
        <v>1107731</v>
      </c>
      <c r="C15" s="6">
        <v>351917</v>
      </c>
      <c r="D15" s="6">
        <v>321907</v>
      </c>
      <c r="E15" s="6">
        <v>30010</v>
      </c>
    </row>
    <row r="16" spans="1:5" ht="15" x14ac:dyDescent="0.25">
      <c r="A16" s="5" t="s">
        <v>16</v>
      </c>
      <c r="B16" s="6">
        <v>268133</v>
      </c>
      <c r="C16" s="6">
        <v>86639</v>
      </c>
      <c r="D16" s="6">
        <v>13694</v>
      </c>
      <c r="E16" s="6">
        <v>72945</v>
      </c>
    </row>
    <row r="17" spans="1:5" ht="15" x14ac:dyDescent="0.25">
      <c r="A17" s="5" t="s">
        <v>17</v>
      </c>
      <c r="B17" s="6">
        <v>278209</v>
      </c>
      <c r="C17" s="6">
        <v>127520</v>
      </c>
      <c r="D17" s="6">
        <v>83528</v>
      </c>
      <c r="E17" s="6">
        <v>43992</v>
      </c>
    </row>
    <row r="18" spans="1:5" ht="15" x14ac:dyDescent="0.25">
      <c r="A18" s="5" t="s">
        <v>18</v>
      </c>
      <c r="B18" s="6">
        <v>5132717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2433530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38185</v>
      </c>
      <c r="C20" s="6">
        <v>4699</v>
      </c>
      <c r="D20" s="6" t="s">
        <v>8</v>
      </c>
      <c r="E20" s="6">
        <v>4699</v>
      </c>
    </row>
    <row r="21" spans="1:5" ht="15" x14ac:dyDescent="0.25">
      <c r="A21" s="5" t="s">
        <v>21</v>
      </c>
      <c r="B21" s="6">
        <v>441516</v>
      </c>
      <c r="C21" s="6">
        <v>172452</v>
      </c>
      <c r="D21" s="6">
        <v>30181</v>
      </c>
      <c r="E21" s="6">
        <v>142271</v>
      </c>
    </row>
    <row r="22" spans="1:5" ht="15" x14ac:dyDescent="0.25">
      <c r="A22" s="5" t="s">
        <v>22</v>
      </c>
      <c r="B22" s="6">
        <v>439186</v>
      </c>
      <c r="C22" s="6">
        <v>115054</v>
      </c>
      <c r="D22" s="6">
        <v>115054</v>
      </c>
      <c r="E22" s="6">
        <v>0</v>
      </c>
    </row>
    <row r="23" spans="1:5" ht="15" x14ac:dyDescent="0.25">
      <c r="A23" s="5" t="s">
        <v>23</v>
      </c>
      <c r="B23" s="6">
        <v>3229543</v>
      </c>
      <c r="C23" s="6">
        <v>932595</v>
      </c>
      <c r="D23" s="6">
        <v>832506</v>
      </c>
      <c r="E23" s="6">
        <v>100089</v>
      </c>
    </row>
    <row r="24" spans="1:5" ht="15" x14ac:dyDescent="0.25">
      <c r="A24" s="5" t="s">
        <v>24</v>
      </c>
      <c r="B24" s="6">
        <v>1917303</v>
      </c>
      <c r="C24" s="6">
        <v>542049</v>
      </c>
      <c r="D24" s="6">
        <v>542049</v>
      </c>
      <c r="E24" s="6">
        <v>0</v>
      </c>
    </row>
    <row r="25" spans="1:5" ht="15" x14ac:dyDescent="0.25">
      <c r="A25" s="5" t="s">
        <v>25</v>
      </c>
      <c r="B25" s="6">
        <v>745285</v>
      </c>
      <c r="C25" s="6">
        <v>244752</v>
      </c>
      <c r="D25" s="6">
        <v>194335</v>
      </c>
      <c r="E25" s="6">
        <v>50417</v>
      </c>
    </row>
    <row r="26" spans="1:5" ht="15" x14ac:dyDescent="0.25">
      <c r="A26" s="5" t="s">
        <v>26</v>
      </c>
      <c r="B26" s="6">
        <v>438829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1499074</v>
      </c>
      <c r="C27" s="6">
        <v>596307</v>
      </c>
      <c r="D27" s="6">
        <v>596307</v>
      </c>
      <c r="E27" s="6">
        <v>0</v>
      </c>
    </row>
    <row r="28" spans="1:5" ht="15" x14ac:dyDescent="0.25">
      <c r="A28" s="5" t="s">
        <v>28</v>
      </c>
      <c r="B28" s="6">
        <v>1948068</v>
      </c>
      <c r="C28" s="6">
        <v>719576</v>
      </c>
      <c r="D28" s="6">
        <v>719576</v>
      </c>
      <c r="E28" s="6">
        <v>0</v>
      </c>
    </row>
    <row r="29" spans="1:5" ht="15" x14ac:dyDescent="0.25">
      <c r="A29" s="5" t="s">
        <v>29</v>
      </c>
      <c r="B29" s="6">
        <v>363049</v>
      </c>
      <c r="C29" s="6">
        <v>95178</v>
      </c>
      <c r="D29" s="6">
        <v>75543</v>
      </c>
      <c r="E29" s="6">
        <v>19635</v>
      </c>
    </row>
    <row r="30" spans="1:5" ht="15" x14ac:dyDescent="0.25">
      <c r="A30" s="5" t="s">
        <v>30</v>
      </c>
      <c r="B30" s="6">
        <v>1502415</v>
      </c>
      <c r="C30" s="6">
        <v>427462</v>
      </c>
      <c r="D30" s="6">
        <v>427462</v>
      </c>
      <c r="E30" s="6">
        <v>0</v>
      </c>
    </row>
    <row r="31" spans="1:5" ht="15" x14ac:dyDescent="0.25">
      <c r="A31" s="5" t="s">
        <v>31</v>
      </c>
      <c r="B31" s="6">
        <v>2045637</v>
      </c>
      <c r="C31" s="6">
        <v>457908</v>
      </c>
      <c r="D31" s="6">
        <v>0</v>
      </c>
      <c r="E31" s="6">
        <v>457908</v>
      </c>
    </row>
    <row r="32" spans="1:5" ht="15" x14ac:dyDescent="0.25">
      <c r="A32" s="5" t="s">
        <v>32</v>
      </c>
      <c r="B32" s="6">
        <v>2920543</v>
      </c>
      <c r="C32" s="6">
        <v>980949</v>
      </c>
      <c r="D32" s="6">
        <v>917761</v>
      </c>
      <c r="E32" s="6">
        <v>63188</v>
      </c>
    </row>
    <row r="33" spans="1:5" ht="15" x14ac:dyDescent="0.25">
      <c r="A33" s="5" t="s">
        <v>33</v>
      </c>
      <c r="B33" s="6">
        <v>1305166</v>
      </c>
      <c r="C33" s="6">
        <v>280513</v>
      </c>
      <c r="D33" s="6">
        <v>280513</v>
      </c>
      <c r="E33" s="6">
        <v>0</v>
      </c>
    </row>
    <row r="34" spans="1:5" ht="15" x14ac:dyDescent="0.25">
      <c r="A34" s="5" t="s">
        <v>34</v>
      </c>
      <c r="B34" s="6">
        <v>799530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1173683</v>
      </c>
      <c r="C35" s="6">
        <v>62297</v>
      </c>
      <c r="D35" s="6">
        <v>62297</v>
      </c>
      <c r="E35" s="6">
        <v>0</v>
      </c>
    </row>
    <row r="36" spans="1:5" ht="15" x14ac:dyDescent="0.25">
      <c r="A36" s="5" t="s">
        <v>36</v>
      </c>
      <c r="B36" s="6">
        <v>291940</v>
      </c>
      <c r="C36" s="6">
        <v>114075</v>
      </c>
      <c r="D36" s="6">
        <v>114075</v>
      </c>
      <c r="E36" s="6">
        <v>0</v>
      </c>
    </row>
    <row r="37" spans="1:5" ht="15" x14ac:dyDescent="0.25">
      <c r="A37" s="5" t="s">
        <v>37</v>
      </c>
      <c r="B37" s="6">
        <v>15277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359428</v>
      </c>
      <c r="C38" s="6">
        <v>63244</v>
      </c>
      <c r="D38" s="6">
        <v>61981</v>
      </c>
      <c r="E38" s="6">
        <v>1263</v>
      </c>
    </row>
    <row r="39" spans="1:5" ht="15" x14ac:dyDescent="0.25">
      <c r="A39" s="5" t="s">
        <v>39</v>
      </c>
      <c r="B39" s="6">
        <v>787941</v>
      </c>
      <c r="C39" s="6">
        <v>336218</v>
      </c>
      <c r="D39" s="6">
        <v>336218</v>
      </c>
      <c r="E39" s="6">
        <v>0</v>
      </c>
    </row>
    <row r="40" spans="1:5" ht="15" x14ac:dyDescent="0.25">
      <c r="A40" s="5" t="s">
        <v>40</v>
      </c>
      <c r="B40" s="6">
        <v>229033</v>
      </c>
      <c r="C40" s="6">
        <v>87038</v>
      </c>
      <c r="D40" s="6">
        <v>86576</v>
      </c>
      <c r="E40" s="6">
        <v>462</v>
      </c>
    </row>
    <row r="41" spans="1:5" ht="15" x14ac:dyDescent="0.25">
      <c r="A41" s="5" t="s">
        <v>41</v>
      </c>
      <c r="B41" s="6">
        <v>1980438</v>
      </c>
      <c r="C41" s="6">
        <v>724522</v>
      </c>
      <c r="D41" s="6">
        <v>724522</v>
      </c>
      <c r="E41" s="6">
        <v>0</v>
      </c>
    </row>
    <row r="42" spans="1:5" ht="15" x14ac:dyDescent="0.25">
      <c r="A42" s="5" t="s">
        <v>42</v>
      </c>
      <c r="B42" s="6">
        <v>962420</v>
      </c>
      <c r="C42" s="6">
        <v>293036</v>
      </c>
      <c r="D42" s="6">
        <v>293036</v>
      </c>
      <c r="E42" s="6">
        <v>0</v>
      </c>
    </row>
    <row r="43" spans="1:5" ht="15" x14ac:dyDescent="0.25">
      <c r="A43" s="5" t="s">
        <v>43</v>
      </c>
      <c r="B43" s="6">
        <v>7373698</v>
      </c>
      <c r="C43" s="6">
        <v>2458989</v>
      </c>
      <c r="D43" s="6">
        <v>430720</v>
      </c>
      <c r="E43" s="6">
        <v>2028269</v>
      </c>
    </row>
    <row r="44" spans="1:5" ht="15" x14ac:dyDescent="0.25">
      <c r="A44" s="5" t="s">
        <v>44</v>
      </c>
      <c r="B44" s="6">
        <v>2696597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120330</v>
      </c>
      <c r="C45" s="6">
        <v>31110</v>
      </c>
      <c r="D45" s="6">
        <v>29670</v>
      </c>
      <c r="E45" s="6">
        <v>1440</v>
      </c>
    </row>
    <row r="46" spans="1:5" ht="15" x14ac:dyDescent="0.25">
      <c r="A46" s="5" t="s">
        <v>46</v>
      </c>
      <c r="B46" s="6">
        <v>3405969</v>
      </c>
      <c r="C46" s="6">
        <v>811846</v>
      </c>
      <c r="D46" s="6">
        <v>811593</v>
      </c>
      <c r="E46" s="6">
        <v>253</v>
      </c>
    </row>
    <row r="47" spans="1:5" ht="15" x14ac:dyDescent="0.25">
      <c r="A47" s="5" t="s">
        <v>47</v>
      </c>
      <c r="B47" s="6">
        <v>1096359</v>
      </c>
      <c r="C47" s="6">
        <v>249887</v>
      </c>
      <c r="D47" s="6">
        <v>249887</v>
      </c>
      <c r="E47" s="6">
        <v>0</v>
      </c>
    </row>
    <row r="48" spans="1:5" ht="15" x14ac:dyDescent="0.25">
      <c r="A48" s="5" t="s">
        <v>48</v>
      </c>
      <c r="B48" s="6">
        <v>1226587</v>
      </c>
      <c r="C48" s="6">
        <v>674983</v>
      </c>
      <c r="D48" s="6">
        <v>577326</v>
      </c>
      <c r="E48" s="6">
        <v>97657</v>
      </c>
    </row>
    <row r="49" spans="1:5" ht="15" x14ac:dyDescent="0.25">
      <c r="A49" s="5" t="s">
        <v>49</v>
      </c>
      <c r="B49" s="6">
        <v>3441751</v>
      </c>
      <c r="C49" s="6">
        <v>1089848</v>
      </c>
      <c r="D49" s="6">
        <v>1031168</v>
      </c>
      <c r="E49" s="6">
        <v>58680</v>
      </c>
    </row>
    <row r="50" spans="1:5" ht="15" x14ac:dyDescent="0.25">
      <c r="A50" s="5" t="s">
        <v>50</v>
      </c>
      <c r="B50" s="6">
        <v>1443582</v>
      </c>
      <c r="C50" s="6">
        <v>644250</v>
      </c>
      <c r="D50" s="6" t="s">
        <v>8</v>
      </c>
      <c r="E50" s="6">
        <v>644250</v>
      </c>
    </row>
    <row r="51" spans="1:5" ht="15" x14ac:dyDescent="0.25">
      <c r="A51" s="5" t="s">
        <v>51</v>
      </c>
      <c r="B51" s="6">
        <v>340350</v>
      </c>
      <c r="C51" s="6">
        <v>93294</v>
      </c>
      <c r="D51" s="6">
        <v>93294</v>
      </c>
      <c r="E51" s="6">
        <v>0</v>
      </c>
    </row>
    <row r="52" spans="1:5" ht="15" x14ac:dyDescent="0.25">
      <c r="A52" s="5" t="s">
        <v>52</v>
      </c>
      <c r="B52" s="6">
        <v>1494263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126731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1778063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5539151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470056</v>
      </c>
      <c r="C56" s="6">
        <v>115736</v>
      </c>
      <c r="D56" s="6">
        <v>114793</v>
      </c>
      <c r="E56" s="6">
        <v>943</v>
      </c>
    </row>
    <row r="57" spans="1:5" ht="15" x14ac:dyDescent="0.25">
      <c r="A57" s="5" t="s">
        <v>57</v>
      </c>
      <c r="B57" s="6">
        <v>197045</v>
      </c>
      <c r="C57" s="6">
        <v>72847</v>
      </c>
      <c r="D57" s="6">
        <v>0</v>
      </c>
      <c r="E57" s="6">
        <v>72847</v>
      </c>
    </row>
    <row r="58" spans="1:5" ht="15" x14ac:dyDescent="0.25">
      <c r="A58" s="5" t="s">
        <v>58</v>
      </c>
      <c r="B58" s="6">
        <v>35746</v>
      </c>
      <c r="C58" s="6">
        <v>17486</v>
      </c>
      <c r="D58" s="6" t="s">
        <v>8</v>
      </c>
      <c r="E58" s="6">
        <v>17486</v>
      </c>
    </row>
    <row r="59" spans="1:5" ht="15" x14ac:dyDescent="0.25">
      <c r="A59" s="5" t="s">
        <v>59</v>
      </c>
      <c r="B59" s="6">
        <v>1787972</v>
      </c>
      <c r="C59" s="6">
        <v>621800</v>
      </c>
      <c r="D59" s="6">
        <v>621800</v>
      </c>
      <c r="E59" s="6">
        <v>0</v>
      </c>
    </row>
    <row r="60" spans="1:5" ht="15" x14ac:dyDescent="0.25">
      <c r="A60" s="5" t="s">
        <v>60</v>
      </c>
      <c r="B60" s="6">
        <v>2071283</v>
      </c>
      <c r="C60" s="6">
        <v>782357</v>
      </c>
      <c r="D60" s="6">
        <v>766694</v>
      </c>
      <c r="E60" s="6">
        <v>15663</v>
      </c>
    </row>
    <row r="61" spans="1:5" ht="15" x14ac:dyDescent="0.25">
      <c r="A61" s="5" t="s">
        <v>61</v>
      </c>
      <c r="B61" s="6">
        <v>626945</v>
      </c>
      <c r="C61" s="6">
        <v>223596</v>
      </c>
      <c r="D61" s="6">
        <v>223596</v>
      </c>
      <c r="E61" s="6">
        <v>0</v>
      </c>
    </row>
    <row r="62" spans="1:5" ht="15" x14ac:dyDescent="0.25">
      <c r="A62" s="5" t="s">
        <v>62</v>
      </c>
      <c r="B62" s="6">
        <v>1480897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77966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92054533</v>
      </c>
      <c r="C64" s="8">
        <f>SUM(C8:C63)</f>
        <v>22009309</v>
      </c>
      <c r="D64" s="8">
        <f>SUM(D8:D63)</f>
        <v>17572722</v>
      </c>
      <c r="E64" s="8">
        <f>SUM(E8:E63)</f>
        <v>4436587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</sheetData>
  <conditionalFormatting sqref="A8:E64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August 10, 2023 12:32 PM&amp;R&amp;"-,Regular"&amp;7Page : &amp;"-,Regular"&amp;7&amp;P&amp;"-,Regular"&amp;7 of &amp;"-,Regular"&amp;7&amp;N</oddFooter>
    <evenFooter>&amp;L&amp;"-,Regular"&amp;7Created On: Thursday, August 10, 2023 12:32 PM&amp;R&amp;"-,Regular"&amp;7Page : &amp;"-,Regular"&amp;7&amp;P&amp;"-,Regular"&amp;7 of &amp;"-,Regular"&amp;7&amp;N</evenFooter>
    <firstFooter>&amp;L&amp;"-,Regular"&amp;7Created On: Thursday, August 10, 2023 12:32 PM&amp;R&amp;"-,Regular"&amp;7Page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495A-1920-4C60-A226-38A5DD902D0B}">
  <sheetPr>
    <pageSetUpPr fitToPage="1"/>
  </sheetPr>
  <dimension ref="A1:E89"/>
  <sheetViews>
    <sheetView workbookViewId="0">
      <pane ySplit="7" topLeftCell="A8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160</v>
      </c>
      <c r="B2" s="2"/>
      <c r="C2" s="2"/>
      <c r="D2" s="2"/>
      <c r="E2" s="2"/>
    </row>
    <row r="3" spans="1:5" ht="15" x14ac:dyDescent="0.25">
      <c r="A3" s="2" t="s">
        <v>158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1253832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250318</v>
      </c>
      <c r="C9" s="6">
        <v>70300</v>
      </c>
      <c r="D9" s="6">
        <v>70299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2303751</v>
      </c>
      <c r="C11" s="6">
        <v>659451</v>
      </c>
      <c r="D11" s="6">
        <v>189763</v>
      </c>
      <c r="E11" s="6">
        <v>469688</v>
      </c>
    </row>
    <row r="12" spans="1:5" ht="15" x14ac:dyDescent="0.25">
      <c r="A12" s="5" t="s">
        <v>12</v>
      </c>
      <c r="B12" s="6">
        <v>1006945</v>
      </c>
      <c r="C12" s="6">
        <v>336369</v>
      </c>
      <c r="D12" s="6">
        <v>327329</v>
      </c>
      <c r="E12" s="6">
        <v>9040</v>
      </c>
    </row>
    <row r="13" spans="1:5" ht="15" x14ac:dyDescent="0.25">
      <c r="A13" s="5" t="s">
        <v>13</v>
      </c>
      <c r="B13" s="6">
        <v>14201974</v>
      </c>
      <c r="C13" s="6">
        <v>4695668</v>
      </c>
      <c r="D13" s="6">
        <v>4665953</v>
      </c>
      <c r="E13" s="6">
        <v>29715</v>
      </c>
    </row>
    <row r="14" spans="1:5" ht="15" x14ac:dyDescent="0.25">
      <c r="A14" s="5" t="s">
        <v>14</v>
      </c>
      <c r="B14" s="6">
        <v>1587104</v>
      </c>
      <c r="C14" s="6">
        <v>579507</v>
      </c>
      <c r="D14" s="6">
        <v>569024</v>
      </c>
      <c r="E14" s="6">
        <v>10483</v>
      </c>
    </row>
    <row r="15" spans="1:5" ht="15" x14ac:dyDescent="0.25">
      <c r="A15" s="5" t="s">
        <v>15</v>
      </c>
      <c r="B15" s="6">
        <v>1109565</v>
      </c>
      <c r="C15" s="6">
        <v>353718</v>
      </c>
      <c r="D15" s="6">
        <v>323540</v>
      </c>
      <c r="E15" s="6">
        <v>30178</v>
      </c>
    </row>
    <row r="16" spans="1:5" ht="15" x14ac:dyDescent="0.25">
      <c r="A16" s="5" t="s">
        <v>16</v>
      </c>
      <c r="B16" s="6">
        <v>270485</v>
      </c>
      <c r="C16" s="6">
        <v>87889</v>
      </c>
      <c r="D16" s="6">
        <v>13913</v>
      </c>
      <c r="E16" s="6">
        <v>73976</v>
      </c>
    </row>
    <row r="17" spans="1:5" ht="15" x14ac:dyDescent="0.25">
      <c r="A17" s="5" t="s">
        <v>17</v>
      </c>
      <c r="B17" s="6">
        <v>279368</v>
      </c>
      <c r="C17" s="6">
        <v>128172</v>
      </c>
      <c r="D17" s="6">
        <v>84038</v>
      </c>
      <c r="E17" s="6">
        <v>44134</v>
      </c>
    </row>
    <row r="18" spans="1:5" ht="15" x14ac:dyDescent="0.25">
      <c r="A18" s="5" t="s">
        <v>18</v>
      </c>
      <c r="B18" s="6">
        <v>5160756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2443395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38170</v>
      </c>
      <c r="C20" s="6">
        <v>4756</v>
      </c>
      <c r="D20" s="6">
        <v>0</v>
      </c>
      <c r="E20" s="6">
        <v>4756</v>
      </c>
    </row>
    <row r="21" spans="1:5" ht="15" x14ac:dyDescent="0.25">
      <c r="A21" s="5" t="s">
        <v>21</v>
      </c>
      <c r="B21" s="6">
        <v>444053</v>
      </c>
      <c r="C21" s="6">
        <v>174360</v>
      </c>
      <c r="D21" s="6">
        <v>30365</v>
      </c>
      <c r="E21" s="6">
        <v>143995</v>
      </c>
    </row>
    <row r="22" spans="1:5" ht="15" x14ac:dyDescent="0.25">
      <c r="A22" s="5" t="s">
        <v>22</v>
      </c>
      <c r="B22" s="6">
        <v>437084</v>
      </c>
      <c r="C22" s="6">
        <v>114661</v>
      </c>
      <c r="D22" s="6">
        <v>114661</v>
      </c>
      <c r="E22" s="6">
        <v>0</v>
      </c>
    </row>
    <row r="23" spans="1:5" ht="15" x14ac:dyDescent="0.25">
      <c r="A23" s="5" t="s">
        <v>23</v>
      </c>
      <c r="B23" s="6">
        <v>3240219</v>
      </c>
      <c r="C23" s="6">
        <v>937473</v>
      </c>
      <c r="D23" s="6">
        <v>837824</v>
      </c>
      <c r="E23" s="6">
        <v>99649</v>
      </c>
    </row>
    <row r="24" spans="1:5" ht="15" x14ac:dyDescent="0.25">
      <c r="A24" s="5" t="s">
        <v>24</v>
      </c>
      <c r="B24" s="6">
        <v>1923961</v>
      </c>
      <c r="C24" s="6">
        <v>546253</v>
      </c>
      <c r="D24" s="6">
        <v>546253</v>
      </c>
      <c r="E24" s="6">
        <v>0</v>
      </c>
    </row>
    <row r="25" spans="1:5" ht="15" x14ac:dyDescent="0.25">
      <c r="A25" s="5" t="s">
        <v>25</v>
      </c>
      <c r="B25" s="6">
        <v>749503</v>
      </c>
      <c r="C25" s="6">
        <v>246023</v>
      </c>
      <c r="D25" s="6">
        <v>193999</v>
      </c>
      <c r="E25" s="6">
        <v>52024</v>
      </c>
    </row>
    <row r="26" spans="1:5" ht="15" x14ac:dyDescent="0.25">
      <c r="A26" s="5" t="s">
        <v>26</v>
      </c>
      <c r="B26" s="6">
        <v>441578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1502108</v>
      </c>
      <c r="C27" s="6">
        <v>597011</v>
      </c>
      <c r="D27" s="6">
        <v>597011</v>
      </c>
      <c r="E27" s="6">
        <v>0</v>
      </c>
    </row>
    <row r="28" spans="1:5" ht="15" x14ac:dyDescent="0.25">
      <c r="A28" s="5" t="s">
        <v>28</v>
      </c>
      <c r="B28" s="6">
        <v>1950934</v>
      </c>
      <c r="C28" s="6">
        <v>723298</v>
      </c>
      <c r="D28" s="6">
        <v>723298</v>
      </c>
      <c r="E28" s="6">
        <v>0</v>
      </c>
    </row>
    <row r="29" spans="1:5" ht="15" x14ac:dyDescent="0.25">
      <c r="A29" s="5" t="s">
        <v>29</v>
      </c>
      <c r="B29" s="6">
        <v>365493</v>
      </c>
      <c r="C29" s="6">
        <v>96509</v>
      </c>
      <c r="D29" s="6">
        <v>76637</v>
      </c>
      <c r="E29" s="6">
        <v>19872</v>
      </c>
    </row>
    <row r="30" spans="1:5" ht="15" x14ac:dyDescent="0.25">
      <c r="A30" s="5" t="s">
        <v>30</v>
      </c>
      <c r="B30" s="6">
        <v>1510417</v>
      </c>
      <c r="C30" s="6">
        <v>431564</v>
      </c>
      <c r="D30" s="6">
        <v>431564</v>
      </c>
      <c r="E30" s="6">
        <v>0</v>
      </c>
    </row>
    <row r="31" spans="1:5" ht="15" x14ac:dyDescent="0.25">
      <c r="A31" s="5" t="s">
        <v>31</v>
      </c>
      <c r="B31" s="6">
        <v>2045568</v>
      </c>
      <c r="C31" s="6">
        <v>458039</v>
      </c>
      <c r="D31" s="6">
        <v>0</v>
      </c>
      <c r="E31" s="6">
        <v>458039</v>
      </c>
    </row>
    <row r="32" spans="1:5" ht="15" x14ac:dyDescent="0.25">
      <c r="A32" s="5" t="s">
        <v>32</v>
      </c>
      <c r="B32" s="6">
        <v>2928200</v>
      </c>
      <c r="C32" s="6">
        <v>985951</v>
      </c>
      <c r="D32" s="6">
        <v>922639</v>
      </c>
      <c r="E32" s="6">
        <v>63312</v>
      </c>
    </row>
    <row r="33" spans="1:5" ht="15" x14ac:dyDescent="0.25">
      <c r="A33" s="5" t="s">
        <v>33</v>
      </c>
      <c r="B33" s="6">
        <v>1307396</v>
      </c>
      <c r="C33" s="6">
        <v>282533</v>
      </c>
      <c r="D33" s="6">
        <v>282533</v>
      </c>
      <c r="E33" s="6">
        <v>0</v>
      </c>
    </row>
    <row r="34" spans="1:5" ht="15" x14ac:dyDescent="0.25">
      <c r="A34" s="5" t="s">
        <v>34</v>
      </c>
      <c r="B34" s="6">
        <v>802295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1183840</v>
      </c>
      <c r="C35" s="6">
        <v>70909</v>
      </c>
      <c r="D35" s="6">
        <v>70909</v>
      </c>
      <c r="E35" s="6">
        <v>0</v>
      </c>
    </row>
    <row r="36" spans="1:5" ht="15" x14ac:dyDescent="0.25">
      <c r="A36" s="5" t="s">
        <v>36</v>
      </c>
      <c r="B36" s="6">
        <v>292762</v>
      </c>
      <c r="C36" s="6">
        <v>114348</v>
      </c>
      <c r="D36" s="6">
        <v>114348</v>
      </c>
      <c r="E36" s="6">
        <v>0</v>
      </c>
    </row>
    <row r="37" spans="1:5" ht="15" x14ac:dyDescent="0.25">
      <c r="A37" s="5" t="s">
        <v>37</v>
      </c>
      <c r="B37" s="6">
        <v>15277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361906</v>
      </c>
      <c r="C38" s="6">
        <v>64693</v>
      </c>
      <c r="D38" s="6">
        <v>63376</v>
      </c>
      <c r="E38" s="6">
        <v>1317</v>
      </c>
    </row>
    <row r="39" spans="1:5" ht="15" x14ac:dyDescent="0.25">
      <c r="A39" s="5" t="s">
        <v>39</v>
      </c>
      <c r="B39" s="6">
        <v>792898</v>
      </c>
      <c r="C39" s="6">
        <v>338956</v>
      </c>
      <c r="D39" s="6">
        <v>338956</v>
      </c>
      <c r="E39" s="6">
        <v>0</v>
      </c>
    </row>
    <row r="40" spans="1:5" ht="15" x14ac:dyDescent="0.25">
      <c r="A40" s="5" t="s">
        <v>40</v>
      </c>
      <c r="B40" s="6">
        <v>229452</v>
      </c>
      <c r="C40" s="6">
        <v>87548</v>
      </c>
      <c r="D40" s="6">
        <v>87079</v>
      </c>
      <c r="E40" s="6">
        <v>469</v>
      </c>
    </row>
    <row r="41" spans="1:5" ht="15" x14ac:dyDescent="0.25">
      <c r="A41" s="5" t="s">
        <v>41</v>
      </c>
      <c r="B41" s="6">
        <v>1985858</v>
      </c>
      <c r="C41" s="6">
        <v>727561</v>
      </c>
      <c r="D41" s="6">
        <v>727561</v>
      </c>
      <c r="E41" s="6">
        <v>0</v>
      </c>
    </row>
    <row r="42" spans="1:5" ht="15" x14ac:dyDescent="0.25">
      <c r="A42" s="5" t="s">
        <v>42</v>
      </c>
      <c r="B42" s="6">
        <v>966015</v>
      </c>
      <c r="C42" s="6">
        <v>293576</v>
      </c>
      <c r="D42" s="6">
        <v>293576</v>
      </c>
      <c r="E42" s="6">
        <v>0</v>
      </c>
    </row>
    <row r="43" spans="1:5" ht="15" x14ac:dyDescent="0.25">
      <c r="A43" s="5" t="s">
        <v>43</v>
      </c>
      <c r="B43" s="6">
        <v>7392992</v>
      </c>
      <c r="C43" s="6">
        <v>2465592</v>
      </c>
      <c r="D43" s="6">
        <v>431082</v>
      </c>
      <c r="E43" s="6">
        <v>2034510</v>
      </c>
    </row>
    <row r="44" spans="1:5" ht="15" x14ac:dyDescent="0.25">
      <c r="A44" s="5" t="s">
        <v>44</v>
      </c>
      <c r="B44" s="6">
        <v>2713573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121363</v>
      </c>
      <c r="C45" s="6">
        <v>31423</v>
      </c>
      <c r="D45" s="6">
        <v>29949</v>
      </c>
      <c r="E45" s="6">
        <v>1474</v>
      </c>
    </row>
    <row r="46" spans="1:5" ht="15" x14ac:dyDescent="0.25">
      <c r="A46" s="5" t="s">
        <v>46</v>
      </c>
      <c r="B46" s="6">
        <v>3417273</v>
      </c>
      <c r="C46" s="6">
        <v>818659</v>
      </c>
      <c r="D46" s="6">
        <v>818412</v>
      </c>
      <c r="E46" s="6">
        <v>247</v>
      </c>
    </row>
    <row r="47" spans="1:5" ht="15" x14ac:dyDescent="0.25">
      <c r="A47" s="5" t="s">
        <v>47</v>
      </c>
      <c r="B47" s="6">
        <v>1105557</v>
      </c>
      <c r="C47" s="6">
        <v>262874</v>
      </c>
      <c r="D47" s="6">
        <v>262874</v>
      </c>
      <c r="E47" s="6">
        <v>0</v>
      </c>
    </row>
    <row r="48" spans="1:5" ht="15" x14ac:dyDescent="0.25">
      <c r="A48" s="5" t="s">
        <v>48</v>
      </c>
      <c r="B48" s="6">
        <v>1229146</v>
      </c>
      <c r="C48" s="6">
        <v>677248</v>
      </c>
      <c r="D48" s="6">
        <v>578640</v>
      </c>
      <c r="E48" s="6">
        <v>98608</v>
      </c>
    </row>
    <row r="49" spans="1:5" ht="15" x14ac:dyDescent="0.25">
      <c r="A49" s="5" t="s">
        <v>49</v>
      </c>
      <c r="B49" s="6">
        <v>3458251</v>
      </c>
      <c r="C49" s="6">
        <v>1095409</v>
      </c>
      <c r="D49" s="6">
        <v>1036037</v>
      </c>
      <c r="E49" s="6">
        <v>59372</v>
      </c>
    </row>
    <row r="50" spans="1:5" ht="15" x14ac:dyDescent="0.25">
      <c r="A50" s="5" t="s">
        <v>50</v>
      </c>
      <c r="B50" s="6">
        <v>1447521</v>
      </c>
      <c r="C50" s="6">
        <v>646645</v>
      </c>
      <c r="D50" s="6">
        <v>0</v>
      </c>
      <c r="E50" s="6">
        <v>646645</v>
      </c>
    </row>
    <row r="51" spans="1:5" ht="15" x14ac:dyDescent="0.25">
      <c r="A51" s="5" t="s">
        <v>51</v>
      </c>
      <c r="B51" s="6">
        <v>342676</v>
      </c>
      <c r="C51" s="6">
        <v>94080</v>
      </c>
      <c r="D51" s="6">
        <v>94080</v>
      </c>
      <c r="E51" s="6">
        <v>0</v>
      </c>
    </row>
    <row r="52" spans="1:5" ht="15" x14ac:dyDescent="0.25">
      <c r="A52" s="5" t="s">
        <v>52</v>
      </c>
      <c r="B52" s="6">
        <v>1501204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127613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1782424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5579001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473785</v>
      </c>
      <c r="C56" s="6">
        <v>117815</v>
      </c>
      <c r="D56" s="6">
        <v>116875</v>
      </c>
      <c r="E56" s="6">
        <v>940</v>
      </c>
    </row>
    <row r="57" spans="1:5" ht="15" x14ac:dyDescent="0.25">
      <c r="A57" s="5" t="s">
        <v>57</v>
      </c>
      <c r="B57" s="6">
        <v>197426</v>
      </c>
      <c r="C57" s="6">
        <v>72911</v>
      </c>
      <c r="D57" s="6">
        <v>0</v>
      </c>
      <c r="E57" s="6">
        <v>72911</v>
      </c>
    </row>
    <row r="58" spans="1:5" ht="15" x14ac:dyDescent="0.25">
      <c r="A58" s="5" t="s">
        <v>58</v>
      </c>
      <c r="B58" s="6">
        <v>35935</v>
      </c>
      <c r="C58" s="6">
        <v>17600</v>
      </c>
      <c r="D58" s="6">
        <v>0</v>
      </c>
      <c r="E58" s="6">
        <v>17600</v>
      </c>
    </row>
    <row r="59" spans="1:5" ht="15" x14ac:dyDescent="0.25">
      <c r="A59" s="5" t="s">
        <v>59</v>
      </c>
      <c r="B59" s="6">
        <v>1802796</v>
      </c>
      <c r="C59" s="6">
        <v>631048</v>
      </c>
      <c r="D59" s="6">
        <v>631048</v>
      </c>
      <c r="E59" s="6">
        <v>0</v>
      </c>
    </row>
    <row r="60" spans="1:5" ht="15" x14ac:dyDescent="0.25">
      <c r="A60" s="5" t="s">
        <v>60</v>
      </c>
      <c r="B60" s="6">
        <v>2077957</v>
      </c>
      <c r="C60" s="6">
        <v>786956</v>
      </c>
      <c r="D60" s="6">
        <v>770997</v>
      </c>
      <c r="E60" s="6">
        <v>15959</v>
      </c>
    </row>
    <row r="61" spans="1:5" ht="15" x14ac:dyDescent="0.25">
      <c r="A61" s="5" t="s">
        <v>61</v>
      </c>
      <c r="B61" s="6">
        <v>630097</v>
      </c>
      <c r="C61" s="6">
        <v>225525</v>
      </c>
      <c r="D61" s="6">
        <v>225525</v>
      </c>
      <c r="E61" s="6">
        <v>0</v>
      </c>
    </row>
    <row r="62" spans="1:5" ht="15" x14ac:dyDescent="0.25">
      <c r="A62" s="5" t="s">
        <v>62</v>
      </c>
      <c r="B62" s="6">
        <v>1487883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77949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92416336</v>
      </c>
      <c r="C64" s="8">
        <f>SUM(C8:C63)</f>
        <v>22150881</v>
      </c>
      <c r="D64" s="8">
        <f>SUM(D8:D63)</f>
        <v>17691967</v>
      </c>
      <c r="E64" s="8">
        <f>SUM(E8:E63)</f>
        <v>4458914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August 10, 2023 12:32 PM&amp;R&amp;"-,Regular"&amp;7Page : &amp;"-,Regular"&amp;7&amp;P&amp;"-,Regular"&amp;7 of &amp;"-,Regular"&amp;7&amp;N</oddFooter>
    <evenFooter>&amp;L&amp;"-,Regular"&amp;7Created On: Thursday, August 10, 2023 12:32 PM&amp;R&amp;"-,Regular"&amp;7Page : &amp;"-,Regular"&amp;7&amp;P&amp;"-,Regular"&amp;7 of &amp;"-,Regular"&amp;7&amp;N</evenFooter>
    <firstFooter>&amp;L&amp;"-,Regular"&amp;7Created On: Thursday, August 10, 2023 12:32 PM&amp;R&amp;"-,Regular"&amp;7Page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84B8-E1C1-430D-B42C-C4FD7ADB0264}">
  <sheetPr>
    <pageSetUpPr fitToPage="1"/>
  </sheetPr>
  <dimension ref="A1:E89"/>
  <sheetViews>
    <sheetView workbookViewId="0">
      <pane ySplit="7" topLeftCell="A8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161</v>
      </c>
      <c r="B2" s="2"/>
      <c r="C2" s="2"/>
      <c r="D2" s="2"/>
      <c r="E2" s="2"/>
    </row>
    <row r="3" spans="1:5" ht="15" x14ac:dyDescent="0.25">
      <c r="A3" s="2" t="s">
        <v>158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1260607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251106</v>
      </c>
      <c r="C9" s="6">
        <v>70477</v>
      </c>
      <c r="D9" s="6">
        <v>70476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2314912</v>
      </c>
      <c r="C11" s="6">
        <v>666204</v>
      </c>
      <c r="D11" s="6">
        <v>190040</v>
      </c>
      <c r="E11" s="6">
        <v>476164</v>
      </c>
    </row>
    <row r="12" spans="1:5" ht="15" x14ac:dyDescent="0.25">
      <c r="A12" s="5" t="s">
        <v>12</v>
      </c>
      <c r="B12" s="6">
        <v>1014875</v>
      </c>
      <c r="C12" s="6">
        <v>339059</v>
      </c>
      <c r="D12" s="6">
        <v>329482</v>
      </c>
      <c r="E12" s="6">
        <v>9577</v>
      </c>
    </row>
    <row r="13" spans="1:5" ht="15" x14ac:dyDescent="0.25">
      <c r="A13" s="5" t="s">
        <v>13</v>
      </c>
      <c r="B13" s="6">
        <v>14216937</v>
      </c>
      <c r="C13" s="6">
        <v>4718224</v>
      </c>
      <c r="D13" s="6">
        <v>4688318</v>
      </c>
      <c r="E13" s="6">
        <v>29906</v>
      </c>
    </row>
    <row r="14" spans="1:5" ht="15" x14ac:dyDescent="0.25">
      <c r="A14" s="5" t="s">
        <v>14</v>
      </c>
      <c r="B14" s="6">
        <v>1597863</v>
      </c>
      <c r="C14" s="6">
        <v>583724</v>
      </c>
      <c r="D14" s="6">
        <v>573382</v>
      </c>
      <c r="E14" s="6">
        <v>10342</v>
      </c>
    </row>
    <row r="15" spans="1:5" ht="15" x14ac:dyDescent="0.25">
      <c r="A15" s="5" t="s">
        <v>15</v>
      </c>
      <c r="B15" s="6">
        <v>1110728</v>
      </c>
      <c r="C15" s="6">
        <v>350914</v>
      </c>
      <c r="D15" s="6">
        <v>321522</v>
      </c>
      <c r="E15" s="6">
        <v>29392</v>
      </c>
    </row>
    <row r="16" spans="1:5" ht="15" x14ac:dyDescent="0.25">
      <c r="A16" s="5" t="s">
        <v>16</v>
      </c>
      <c r="B16" s="6">
        <v>272553</v>
      </c>
      <c r="C16" s="6">
        <v>88859</v>
      </c>
      <c r="D16" s="6">
        <v>14013</v>
      </c>
      <c r="E16" s="6">
        <v>74846</v>
      </c>
    </row>
    <row r="17" spans="1:5" ht="15" x14ac:dyDescent="0.25">
      <c r="A17" s="5" t="s">
        <v>17</v>
      </c>
      <c r="B17" s="6">
        <v>280364</v>
      </c>
      <c r="C17" s="6">
        <v>128937</v>
      </c>
      <c r="D17" s="6">
        <v>84659</v>
      </c>
      <c r="E17" s="6">
        <v>44278</v>
      </c>
    </row>
    <row r="18" spans="1:5" ht="15" x14ac:dyDescent="0.25">
      <c r="A18" s="5" t="s">
        <v>18</v>
      </c>
      <c r="B18" s="6">
        <v>5174431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2460445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37773</v>
      </c>
      <c r="C20" s="6">
        <v>4716</v>
      </c>
      <c r="D20" s="6">
        <v>0</v>
      </c>
      <c r="E20" s="6">
        <v>4716</v>
      </c>
    </row>
    <row r="21" spans="1:5" ht="15" x14ac:dyDescent="0.25">
      <c r="A21" s="5" t="s">
        <v>21</v>
      </c>
      <c r="B21" s="6">
        <v>445579</v>
      </c>
      <c r="C21" s="6">
        <v>175395</v>
      </c>
      <c r="D21" s="6">
        <v>30526</v>
      </c>
      <c r="E21" s="6">
        <v>144869</v>
      </c>
    </row>
    <row r="22" spans="1:5" ht="15" x14ac:dyDescent="0.25">
      <c r="A22" s="5" t="s">
        <v>22</v>
      </c>
      <c r="B22" s="6">
        <v>437990</v>
      </c>
      <c r="C22" s="6">
        <v>115444</v>
      </c>
      <c r="D22" s="6">
        <v>115444</v>
      </c>
      <c r="E22" s="6">
        <v>0</v>
      </c>
    </row>
    <row r="23" spans="1:5" ht="15" x14ac:dyDescent="0.25">
      <c r="A23" s="5" t="s">
        <v>23</v>
      </c>
      <c r="B23" s="6">
        <v>3255694</v>
      </c>
      <c r="C23" s="6">
        <v>943566</v>
      </c>
      <c r="D23" s="6">
        <v>844175</v>
      </c>
      <c r="E23" s="6">
        <v>99391</v>
      </c>
    </row>
    <row r="24" spans="1:5" ht="15" x14ac:dyDescent="0.25">
      <c r="A24" s="5" t="s">
        <v>24</v>
      </c>
      <c r="B24" s="6">
        <v>1930766</v>
      </c>
      <c r="C24" s="6">
        <v>549383</v>
      </c>
      <c r="D24" s="6">
        <v>549383</v>
      </c>
      <c r="E24" s="6">
        <v>0</v>
      </c>
    </row>
    <row r="25" spans="1:5" ht="15" x14ac:dyDescent="0.25">
      <c r="A25" s="5" t="s">
        <v>25</v>
      </c>
      <c r="B25" s="6">
        <v>752092</v>
      </c>
      <c r="C25" s="6">
        <v>246686</v>
      </c>
      <c r="D25" s="6">
        <v>193142</v>
      </c>
      <c r="E25" s="6">
        <v>53544</v>
      </c>
    </row>
    <row r="26" spans="1:5" ht="15" x14ac:dyDescent="0.25">
      <c r="A26" s="5" t="s">
        <v>26</v>
      </c>
      <c r="B26" s="6">
        <v>444343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1507591</v>
      </c>
      <c r="C27" s="6">
        <v>599659</v>
      </c>
      <c r="D27" s="6">
        <v>599659</v>
      </c>
      <c r="E27" s="6">
        <v>0</v>
      </c>
    </row>
    <row r="28" spans="1:5" ht="15" x14ac:dyDescent="0.25">
      <c r="A28" s="5" t="s">
        <v>28</v>
      </c>
      <c r="B28" s="6">
        <v>1954581</v>
      </c>
      <c r="C28" s="6">
        <v>726917</v>
      </c>
      <c r="D28" s="6">
        <v>726917</v>
      </c>
      <c r="E28" s="6">
        <v>0</v>
      </c>
    </row>
    <row r="29" spans="1:5" ht="15" x14ac:dyDescent="0.25">
      <c r="A29" s="5" t="s">
        <v>29</v>
      </c>
      <c r="B29" s="6">
        <v>369005</v>
      </c>
      <c r="C29" s="6">
        <v>98253</v>
      </c>
      <c r="D29" s="6">
        <v>78111</v>
      </c>
      <c r="E29" s="6">
        <v>20142</v>
      </c>
    </row>
    <row r="30" spans="1:5" ht="15" x14ac:dyDescent="0.25">
      <c r="A30" s="5" t="s">
        <v>30</v>
      </c>
      <c r="B30" s="6">
        <v>1520849</v>
      </c>
      <c r="C30" s="6">
        <v>435332</v>
      </c>
      <c r="D30" s="6">
        <v>435332</v>
      </c>
      <c r="E30" s="6">
        <v>0</v>
      </c>
    </row>
    <row r="31" spans="1:5" ht="15" x14ac:dyDescent="0.25">
      <c r="A31" s="5" t="s">
        <v>31</v>
      </c>
      <c r="B31" s="6">
        <v>2069317</v>
      </c>
      <c r="C31" s="6">
        <v>462256</v>
      </c>
      <c r="D31" s="6">
        <v>0</v>
      </c>
      <c r="E31" s="6">
        <v>462256</v>
      </c>
    </row>
    <row r="32" spans="1:5" ht="15" x14ac:dyDescent="0.25">
      <c r="A32" s="5" t="s">
        <v>32</v>
      </c>
      <c r="B32" s="6">
        <v>2939260</v>
      </c>
      <c r="C32" s="6">
        <v>991917</v>
      </c>
      <c r="D32" s="6">
        <v>928196</v>
      </c>
      <c r="E32" s="6">
        <v>63721</v>
      </c>
    </row>
    <row r="33" spans="1:5" ht="15" x14ac:dyDescent="0.25">
      <c r="A33" s="5" t="s">
        <v>33</v>
      </c>
      <c r="B33" s="6">
        <v>1308442</v>
      </c>
      <c r="C33" s="6">
        <v>284062</v>
      </c>
      <c r="D33" s="6">
        <v>284062</v>
      </c>
      <c r="E33" s="6">
        <v>0</v>
      </c>
    </row>
    <row r="34" spans="1:5" ht="15" x14ac:dyDescent="0.25">
      <c r="A34" s="5" t="s">
        <v>34</v>
      </c>
      <c r="B34" s="6">
        <v>805457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1218307</v>
      </c>
      <c r="C35" s="6">
        <v>83686</v>
      </c>
      <c r="D35" s="6">
        <v>83686</v>
      </c>
      <c r="E35" s="6">
        <v>0</v>
      </c>
    </row>
    <row r="36" spans="1:5" ht="15" x14ac:dyDescent="0.25">
      <c r="A36" s="5" t="s">
        <v>36</v>
      </c>
      <c r="B36" s="6">
        <v>294038</v>
      </c>
      <c r="C36" s="6">
        <v>114945</v>
      </c>
      <c r="D36" s="6">
        <v>114945</v>
      </c>
      <c r="E36" s="6">
        <v>0</v>
      </c>
    </row>
    <row r="37" spans="1:5" ht="15" x14ac:dyDescent="0.25">
      <c r="A37" s="5" t="s">
        <v>37</v>
      </c>
      <c r="B37" s="6">
        <v>15277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364139</v>
      </c>
      <c r="C38" s="6">
        <v>66256</v>
      </c>
      <c r="D38" s="6">
        <v>64901</v>
      </c>
      <c r="E38" s="6">
        <v>1355</v>
      </c>
    </row>
    <row r="39" spans="1:5" ht="15" x14ac:dyDescent="0.25">
      <c r="A39" s="5" t="s">
        <v>39</v>
      </c>
      <c r="B39" s="6">
        <v>797027</v>
      </c>
      <c r="C39" s="6">
        <v>341483</v>
      </c>
      <c r="D39" s="6">
        <v>341483</v>
      </c>
      <c r="E39" s="6">
        <v>0</v>
      </c>
    </row>
    <row r="40" spans="1:5" ht="15" x14ac:dyDescent="0.25">
      <c r="A40" s="5" t="s">
        <v>40</v>
      </c>
      <c r="B40" s="6">
        <v>230206</v>
      </c>
      <c r="C40" s="6">
        <v>88143</v>
      </c>
      <c r="D40" s="6">
        <v>87670</v>
      </c>
      <c r="E40" s="6">
        <v>473</v>
      </c>
    </row>
    <row r="41" spans="1:5" ht="15" x14ac:dyDescent="0.25">
      <c r="A41" s="5" t="s">
        <v>41</v>
      </c>
      <c r="B41" s="6">
        <v>1998079</v>
      </c>
      <c r="C41" s="6">
        <v>732619</v>
      </c>
      <c r="D41" s="6">
        <v>732619</v>
      </c>
      <c r="E41" s="6">
        <v>0</v>
      </c>
    </row>
    <row r="42" spans="1:5" ht="15" x14ac:dyDescent="0.25">
      <c r="A42" s="5" t="s">
        <v>42</v>
      </c>
      <c r="B42" s="6">
        <v>967492</v>
      </c>
      <c r="C42" s="6">
        <v>293763</v>
      </c>
      <c r="D42" s="6">
        <v>293763</v>
      </c>
      <c r="E42" s="6">
        <v>0</v>
      </c>
    </row>
    <row r="43" spans="1:5" ht="15" x14ac:dyDescent="0.25">
      <c r="A43" s="5" t="s">
        <v>43</v>
      </c>
      <c r="B43" s="6">
        <v>7416161</v>
      </c>
      <c r="C43" s="6">
        <v>2473659</v>
      </c>
      <c r="D43" s="6">
        <v>430231</v>
      </c>
      <c r="E43" s="6">
        <v>2043428</v>
      </c>
    </row>
    <row r="44" spans="1:5" ht="15" x14ac:dyDescent="0.25">
      <c r="A44" s="5" t="s">
        <v>44</v>
      </c>
      <c r="B44" s="6">
        <v>2729881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122902</v>
      </c>
      <c r="C45" s="6">
        <v>31987</v>
      </c>
      <c r="D45" s="6">
        <v>30488</v>
      </c>
      <c r="E45" s="6">
        <v>1499</v>
      </c>
    </row>
    <row r="46" spans="1:5" ht="15" x14ac:dyDescent="0.25">
      <c r="A46" s="5" t="s">
        <v>46</v>
      </c>
      <c r="B46" s="6">
        <v>3433679</v>
      </c>
      <c r="C46" s="6">
        <v>825150</v>
      </c>
      <c r="D46" s="6">
        <v>824907</v>
      </c>
      <c r="E46" s="6">
        <v>243</v>
      </c>
    </row>
    <row r="47" spans="1:5" ht="15" x14ac:dyDescent="0.25">
      <c r="A47" s="5" t="s">
        <v>47</v>
      </c>
      <c r="B47" s="6">
        <v>1108063</v>
      </c>
      <c r="C47" s="6">
        <v>271642</v>
      </c>
      <c r="D47" s="6">
        <v>271642</v>
      </c>
      <c r="E47" s="6">
        <v>0</v>
      </c>
    </row>
    <row r="48" spans="1:5" ht="15" x14ac:dyDescent="0.25">
      <c r="A48" s="5" t="s">
        <v>48</v>
      </c>
      <c r="B48" s="6">
        <v>1235078</v>
      </c>
      <c r="C48" s="6">
        <v>680903</v>
      </c>
      <c r="D48" s="6">
        <v>581880</v>
      </c>
      <c r="E48" s="6">
        <v>99023</v>
      </c>
    </row>
    <row r="49" spans="1:5" ht="15" x14ac:dyDescent="0.25">
      <c r="A49" s="5" t="s">
        <v>49</v>
      </c>
      <c r="B49" s="6">
        <v>3480422</v>
      </c>
      <c r="C49" s="6">
        <v>1105421</v>
      </c>
      <c r="D49" s="6">
        <v>1045418</v>
      </c>
      <c r="E49" s="6">
        <v>60003</v>
      </c>
    </row>
    <row r="50" spans="1:5" ht="15" x14ac:dyDescent="0.25">
      <c r="A50" s="5" t="s">
        <v>50</v>
      </c>
      <c r="B50" s="6">
        <v>1450060</v>
      </c>
      <c r="C50" s="6">
        <v>648516</v>
      </c>
      <c r="D50" s="6">
        <v>0</v>
      </c>
      <c r="E50" s="6">
        <v>648516</v>
      </c>
    </row>
    <row r="51" spans="1:5" ht="15" x14ac:dyDescent="0.25">
      <c r="A51" s="5" t="s">
        <v>51</v>
      </c>
      <c r="B51" s="6">
        <v>343260</v>
      </c>
      <c r="C51" s="6">
        <v>94538</v>
      </c>
      <c r="D51" s="6">
        <v>94538</v>
      </c>
      <c r="E51" s="6">
        <v>0</v>
      </c>
    </row>
    <row r="52" spans="1:5" ht="15" x14ac:dyDescent="0.25">
      <c r="A52" s="5" t="s">
        <v>52</v>
      </c>
      <c r="B52" s="6">
        <v>1510029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128685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1787438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5633981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478145</v>
      </c>
      <c r="C56" s="6">
        <v>120121</v>
      </c>
      <c r="D56" s="6">
        <v>119202</v>
      </c>
      <c r="E56" s="6">
        <v>919</v>
      </c>
    </row>
    <row r="57" spans="1:5" ht="15" x14ac:dyDescent="0.25">
      <c r="A57" s="5" t="s">
        <v>57</v>
      </c>
      <c r="B57" s="6">
        <v>197879</v>
      </c>
      <c r="C57" s="6">
        <v>73056</v>
      </c>
      <c r="D57" s="6">
        <v>0</v>
      </c>
      <c r="E57" s="6">
        <v>73056</v>
      </c>
    </row>
    <row r="58" spans="1:5" ht="15" x14ac:dyDescent="0.25">
      <c r="A58" s="5" t="s">
        <v>58</v>
      </c>
      <c r="B58" s="6">
        <v>36344</v>
      </c>
      <c r="C58" s="6">
        <v>17681</v>
      </c>
      <c r="D58" s="6">
        <v>0</v>
      </c>
      <c r="E58" s="6">
        <v>17681</v>
      </c>
    </row>
    <row r="59" spans="1:5" ht="15" x14ac:dyDescent="0.25">
      <c r="A59" s="5" t="s">
        <v>59</v>
      </c>
      <c r="B59" s="6">
        <v>1814910</v>
      </c>
      <c r="C59" s="6">
        <v>637440</v>
      </c>
      <c r="D59" s="6">
        <v>637440</v>
      </c>
      <c r="E59" s="6">
        <v>0</v>
      </c>
    </row>
    <row r="60" spans="1:5" ht="15" x14ac:dyDescent="0.25">
      <c r="A60" s="5" t="s">
        <v>60</v>
      </c>
      <c r="B60" s="6">
        <v>2081732</v>
      </c>
      <c r="C60" s="6">
        <v>790298</v>
      </c>
      <c r="D60" s="6">
        <v>774051</v>
      </c>
      <c r="E60" s="6">
        <v>16247</v>
      </c>
    </row>
    <row r="61" spans="1:5" ht="15" x14ac:dyDescent="0.25">
      <c r="A61" s="5" t="s">
        <v>61</v>
      </c>
      <c r="B61" s="6">
        <v>633719</v>
      </c>
      <c r="C61" s="6">
        <v>227864</v>
      </c>
      <c r="D61" s="6">
        <v>227864</v>
      </c>
      <c r="E61" s="6">
        <v>0</v>
      </c>
    </row>
    <row r="62" spans="1:5" ht="15" x14ac:dyDescent="0.25">
      <c r="A62" s="5" t="s">
        <v>62</v>
      </c>
      <c r="B62" s="6">
        <v>1493798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77840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92843565</v>
      </c>
      <c r="C64" s="8">
        <f>SUM(C8:C63)</f>
        <v>22299155</v>
      </c>
      <c r="D64" s="8">
        <f>SUM(D8:D63)</f>
        <v>17813567</v>
      </c>
      <c r="E64" s="8">
        <f>SUM(E8:E63)</f>
        <v>4485588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August 10, 2023 12:32 PM&amp;R&amp;"-,Regular"&amp;7Page : &amp;"-,Regular"&amp;7&amp;P&amp;"-,Regular"&amp;7 of &amp;"-,Regular"&amp;7&amp;N</oddFooter>
    <evenFooter>&amp;L&amp;"-,Regular"&amp;7Created On: Thursday, August 10, 2023 12:32 PM&amp;R&amp;"-,Regular"&amp;7Page : &amp;"-,Regular"&amp;7&amp;P&amp;"-,Regular"&amp;7 of &amp;"-,Regular"&amp;7&amp;N</evenFooter>
    <firstFooter>&amp;L&amp;"-,Regular"&amp;7Created On: Thursday, August 10, 2023 12:32 PM&amp;R&amp;"-,Regular"&amp;7Page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024C-4D74-4BCB-8181-0909712B5A2C}">
  <sheetPr>
    <pageSetUpPr fitToPage="1"/>
  </sheetPr>
  <dimension ref="A1:E89"/>
  <sheetViews>
    <sheetView workbookViewId="0">
      <pane ySplit="7" topLeftCell="A66" activePane="bottomLeft" state="frozenSplit"/>
      <selection activeCell="A91" sqref="A91:XFD91"/>
      <selection pane="bottomLeft" activeCell="A91" sqref="A91:XFD91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163</v>
      </c>
      <c r="B2" s="2"/>
      <c r="C2" s="2"/>
      <c r="D2" s="2"/>
      <c r="E2" s="2"/>
    </row>
    <row r="3" spans="1:5" ht="15" x14ac:dyDescent="0.25">
      <c r="A3" s="2" t="s">
        <v>162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1265133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252276</v>
      </c>
      <c r="C9" s="6">
        <v>70890</v>
      </c>
      <c r="D9" s="6">
        <v>70888</v>
      </c>
      <c r="E9" s="6">
        <v>2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2328557</v>
      </c>
      <c r="C11" s="6">
        <v>673406</v>
      </c>
      <c r="D11" s="6">
        <v>190211</v>
      </c>
      <c r="E11" s="6">
        <v>483195</v>
      </c>
    </row>
    <row r="12" spans="1:5" ht="15" x14ac:dyDescent="0.25">
      <c r="A12" s="5" t="s">
        <v>12</v>
      </c>
      <c r="B12" s="6">
        <v>1027582</v>
      </c>
      <c r="C12" s="6">
        <v>340651</v>
      </c>
      <c r="D12" s="6">
        <v>330906</v>
      </c>
      <c r="E12" s="6">
        <v>9745</v>
      </c>
    </row>
    <row r="13" spans="1:5" ht="15" x14ac:dyDescent="0.25">
      <c r="A13" s="5" t="s">
        <v>13</v>
      </c>
      <c r="B13" s="6">
        <v>14363770</v>
      </c>
      <c r="C13" s="6">
        <v>4775574</v>
      </c>
      <c r="D13" s="6">
        <v>4745599</v>
      </c>
      <c r="E13" s="6">
        <v>29975</v>
      </c>
    </row>
    <row r="14" spans="1:5" ht="15" x14ac:dyDescent="0.25">
      <c r="A14" s="5" t="s">
        <v>14</v>
      </c>
      <c r="B14" s="6">
        <v>1608456</v>
      </c>
      <c r="C14" s="6">
        <v>589545</v>
      </c>
      <c r="D14" s="6">
        <v>578620</v>
      </c>
      <c r="E14" s="6">
        <v>10925</v>
      </c>
    </row>
    <row r="15" spans="1:5" ht="15" x14ac:dyDescent="0.25">
      <c r="A15" s="5" t="s">
        <v>15</v>
      </c>
      <c r="B15" s="6">
        <v>1117080</v>
      </c>
      <c r="C15" s="6">
        <v>353335</v>
      </c>
      <c r="D15" s="6">
        <v>323785</v>
      </c>
      <c r="E15" s="6">
        <v>29550</v>
      </c>
    </row>
    <row r="16" spans="1:5" ht="15" x14ac:dyDescent="0.25">
      <c r="A16" s="5" t="s">
        <v>16</v>
      </c>
      <c r="B16" s="6">
        <v>274718</v>
      </c>
      <c r="C16" s="6">
        <v>89600</v>
      </c>
      <c r="D16" s="6">
        <v>13992</v>
      </c>
      <c r="E16" s="6">
        <v>75608</v>
      </c>
    </row>
    <row r="17" spans="1:5" ht="15" x14ac:dyDescent="0.25">
      <c r="A17" s="5" t="s">
        <v>17</v>
      </c>
      <c r="B17" s="6">
        <v>281801</v>
      </c>
      <c r="C17" s="6">
        <v>129933</v>
      </c>
      <c r="D17" s="6">
        <v>85467</v>
      </c>
      <c r="E17" s="6">
        <v>44466</v>
      </c>
    </row>
    <row r="18" spans="1:5" ht="15" x14ac:dyDescent="0.25">
      <c r="A18" s="5" t="s">
        <v>18</v>
      </c>
      <c r="B18" s="6">
        <v>5152004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2470438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39555</v>
      </c>
      <c r="C20" s="6">
        <v>5019</v>
      </c>
      <c r="D20" s="6" t="s">
        <v>8</v>
      </c>
      <c r="E20" s="6">
        <v>5019</v>
      </c>
    </row>
    <row r="21" spans="1:5" ht="15" x14ac:dyDescent="0.25">
      <c r="A21" s="5" t="s">
        <v>21</v>
      </c>
      <c r="B21" s="6">
        <v>447824</v>
      </c>
      <c r="C21" s="6">
        <v>176866</v>
      </c>
      <c r="D21" s="6">
        <v>30702</v>
      </c>
      <c r="E21" s="6">
        <v>146164</v>
      </c>
    </row>
    <row r="22" spans="1:5" ht="15" x14ac:dyDescent="0.25">
      <c r="A22" s="5" t="s">
        <v>22</v>
      </c>
      <c r="B22" s="6">
        <v>443280</v>
      </c>
      <c r="C22" s="6">
        <v>126889</v>
      </c>
      <c r="D22" s="6">
        <v>126889</v>
      </c>
      <c r="E22" s="6">
        <v>0</v>
      </c>
    </row>
    <row r="23" spans="1:5" ht="15" x14ac:dyDescent="0.25">
      <c r="A23" s="5" t="s">
        <v>23</v>
      </c>
      <c r="B23" s="6">
        <v>3284616</v>
      </c>
      <c r="C23" s="6">
        <v>949532</v>
      </c>
      <c r="D23" s="6">
        <v>850393</v>
      </c>
      <c r="E23" s="6">
        <v>99139</v>
      </c>
    </row>
    <row r="24" spans="1:5" ht="15" x14ac:dyDescent="0.25">
      <c r="A24" s="5" t="s">
        <v>24</v>
      </c>
      <c r="B24" s="6">
        <v>1965398</v>
      </c>
      <c r="C24" s="6">
        <v>555956</v>
      </c>
      <c r="D24" s="6">
        <v>555956</v>
      </c>
      <c r="E24" s="6">
        <v>0</v>
      </c>
    </row>
    <row r="25" spans="1:5" ht="15" x14ac:dyDescent="0.25">
      <c r="A25" s="5" t="s">
        <v>25</v>
      </c>
      <c r="B25" s="6">
        <v>756600</v>
      </c>
      <c r="C25" s="6">
        <v>248164</v>
      </c>
      <c r="D25" s="6">
        <v>193196</v>
      </c>
      <c r="E25" s="6">
        <v>54968</v>
      </c>
    </row>
    <row r="26" spans="1:5" ht="15" x14ac:dyDescent="0.25">
      <c r="A26" s="5" t="s">
        <v>26</v>
      </c>
      <c r="B26" s="6">
        <v>446386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1516263</v>
      </c>
      <c r="C27" s="6">
        <v>604993</v>
      </c>
      <c r="D27" s="6">
        <v>604993</v>
      </c>
      <c r="E27" s="6">
        <v>0</v>
      </c>
    </row>
    <row r="28" spans="1:5" ht="15" x14ac:dyDescent="0.25">
      <c r="A28" s="5" t="s">
        <v>28</v>
      </c>
      <c r="B28" s="6">
        <v>8563852</v>
      </c>
      <c r="C28" s="6">
        <v>7330390</v>
      </c>
      <c r="D28" s="6">
        <v>7330390</v>
      </c>
      <c r="E28" s="6">
        <v>0</v>
      </c>
    </row>
    <row r="29" spans="1:5" ht="15" x14ac:dyDescent="0.25">
      <c r="A29" s="5" t="s">
        <v>29</v>
      </c>
      <c r="B29" s="6">
        <v>375854</v>
      </c>
      <c r="C29" s="6">
        <v>100685</v>
      </c>
      <c r="D29" s="6">
        <v>79740</v>
      </c>
      <c r="E29" s="6">
        <v>20945</v>
      </c>
    </row>
    <row r="30" spans="1:5" ht="15" x14ac:dyDescent="0.25">
      <c r="A30" s="5" t="s">
        <v>30</v>
      </c>
      <c r="B30" s="6">
        <v>5479697</v>
      </c>
      <c r="C30" s="6">
        <v>4389074</v>
      </c>
      <c r="D30" s="6">
        <v>4389074</v>
      </c>
      <c r="E30" s="6">
        <v>0</v>
      </c>
    </row>
    <row r="31" spans="1:5" ht="15" x14ac:dyDescent="0.25">
      <c r="A31" s="5" t="s">
        <v>31</v>
      </c>
      <c r="B31" s="6">
        <v>2080282</v>
      </c>
      <c r="C31" s="6">
        <v>467456</v>
      </c>
      <c r="D31" s="6">
        <v>0</v>
      </c>
      <c r="E31" s="6">
        <v>467456</v>
      </c>
    </row>
    <row r="32" spans="1:5" ht="15" x14ac:dyDescent="0.25">
      <c r="A32" s="5" t="s">
        <v>32</v>
      </c>
      <c r="B32" s="6">
        <v>2951035</v>
      </c>
      <c r="C32" s="6">
        <v>998456</v>
      </c>
      <c r="D32" s="6">
        <v>934393</v>
      </c>
      <c r="E32" s="6">
        <v>64063</v>
      </c>
    </row>
    <row r="33" spans="1:5" ht="15" x14ac:dyDescent="0.25">
      <c r="A33" s="5" t="s">
        <v>33</v>
      </c>
      <c r="B33" s="6">
        <v>1324536</v>
      </c>
      <c r="C33" s="6">
        <v>287969</v>
      </c>
      <c r="D33" s="6">
        <v>287969</v>
      </c>
      <c r="E33" s="6">
        <v>0</v>
      </c>
    </row>
    <row r="34" spans="1:5" ht="15" x14ac:dyDescent="0.25">
      <c r="A34" s="5" t="s">
        <v>34</v>
      </c>
      <c r="B34" s="6">
        <v>807669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1243582</v>
      </c>
      <c r="C35" s="6">
        <v>169785</v>
      </c>
      <c r="D35" s="6">
        <v>169785</v>
      </c>
      <c r="E35" s="6">
        <v>0</v>
      </c>
    </row>
    <row r="36" spans="1:5" ht="15" x14ac:dyDescent="0.25">
      <c r="A36" s="5" t="s">
        <v>36</v>
      </c>
      <c r="B36" s="6">
        <v>295372</v>
      </c>
      <c r="C36" s="6">
        <v>115591</v>
      </c>
      <c r="D36" s="6">
        <v>115591</v>
      </c>
      <c r="E36" s="6">
        <v>0</v>
      </c>
    </row>
    <row r="37" spans="1:5" ht="15" x14ac:dyDescent="0.25">
      <c r="A37" s="5" t="s">
        <v>37</v>
      </c>
      <c r="B37" s="6">
        <v>18170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379491</v>
      </c>
      <c r="C38" s="6">
        <v>77963</v>
      </c>
      <c r="D38" s="6">
        <v>76260</v>
      </c>
      <c r="E38" s="6">
        <v>1703</v>
      </c>
    </row>
    <row r="39" spans="1:5" ht="15" x14ac:dyDescent="0.25">
      <c r="A39" s="5" t="s">
        <v>39</v>
      </c>
      <c r="B39" s="6">
        <v>800882</v>
      </c>
      <c r="C39" s="6">
        <v>343252</v>
      </c>
      <c r="D39" s="6">
        <v>343252</v>
      </c>
      <c r="E39" s="6">
        <v>0</v>
      </c>
    </row>
    <row r="40" spans="1:5" ht="15" x14ac:dyDescent="0.25">
      <c r="A40" s="5" t="s">
        <v>40</v>
      </c>
      <c r="B40" s="6">
        <v>230660</v>
      </c>
      <c r="C40" s="6">
        <v>88800</v>
      </c>
      <c r="D40" s="6">
        <v>88326</v>
      </c>
      <c r="E40" s="6">
        <v>474</v>
      </c>
    </row>
    <row r="41" spans="1:5" ht="15" x14ac:dyDescent="0.25">
      <c r="A41" s="5" t="s">
        <v>41</v>
      </c>
      <c r="B41" s="6">
        <v>2002876</v>
      </c>
      <c r="C41" s="6">
        <v>734260</v>
      </c>
      <c r="D41" s="6">
        <v>734260</v>
      </c>
      <c r="E41" s="6">
        <v>0</v>
      </c>
    </row>
    <row r="42" spans="1:5" ht="15" x14ac:dyDescent="0.25">
      <c r="A42" s="5" t="s">
        <v>42</v>
      </c>
      <c r="B42" s="6">
        <v>970620</v>
      </c>
      <c r="C42" s="6">
        <v>294988</v>
      </c>
      <c r="D42" s="6">
        <v>294988</v>
      </c>
      <c r="E42" s="6">
        <v>0</v>
      </c>
    </row>
    <row r="43" spans="1:5" ht="15" x14ac:dyDescent="0.25">
      <c r="A43" s="5" t="s">
        <v>43</v>
      </c>
      <c r="B43" s="6">
        <v>7454959</v>
      </c>
      <c r="C43" s="6">
        <v>2479550</v>
      </c>
      <c r="D43" s="6">
        <v>429212</v>
      </c>
      <c r="E43" s="6">
        <v>2050338</v>
      </c>
    </row>
    <row r="44" spans="1:5" ht="15" x14ac:dyDescent="0.25">
      <c r="A44" s="5" t="s">
        <v>44</v>
      </c>
      <c r="B44" s="6">
        <v>2745631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123598</v>
      </c>
      <c r="C45" s="6">
        <v>32679</v>
      </c>
      <c r="D45" s="6">
        <v>31043</v>
      </c>
      <c r="E45" s="6">
        <v>1636</v>
      </c>
    </row>
    <row r="46" spans="1:5" ht="15" x14ac:dyDescent="0.25">
      <c r="A46" s="5" t="s">
        <v>46</v>
      </c>
      <c r="B46" s="6">
        <v>3445836</v>
      </c>
      <c r="C46" s="6">
        <v>832202</v>
      </c>
      <c r="D46" s="6">
        <v>831967</v>
      </c>
      <c r="E46" s="6">
        <v>235</v>
      </c>
    </row>
    <row r="47" spans="1:5" ht="15" x14ac:dyDescent="0.25">
      <c r="A47" s="5" t="s">
        <v>47</v>
      </c>
      <c r="B47" s="6">
        <v>1131617</v>
      </c>
      <c r="C47" s="6">
        <v>282388</v>
      </c>
      <c r="D47" s="6">
        <v>282388</v>
      </c>
      <c r="E47" s="6">
        <v>0</v>
      </c>
    </row>
    <row r="48" spans="1:5" ht="15" x14ac:dyDescent="0.25">
      <c r="A48" s="5" t="s">
        <v>48</v>
      </c>
      <c r="B48" s="6">
        <v>1244840</v>
      </c>
      <c r="C48" s="6">
        <v>685145</v>
      </c>
      <c r="D48" s="6">
        <v>585274</v>
      </c>
      <c r="E48" s="6">
        <v>99871</v>
      </c>
    </row>
    <row r="49" spans="1:5" ht="15" x14ac:dyDescent="0.25">
      <c r="A49" s="5" t="s">
        <v>49</v>
      </c>
      <c r="B49" s="6">
        <v>3495010</v>
      </c>
      <c r="C49" s="6">
        <v>1111312</v>
      </c>
      <c r="D49" s="6">
        <v>1050539</v>
      </c>
      <c r="E49" s="6">
        <v>60773</v>
      </c>
    </row>
    <row r="50" spans="1:5" ht="15" x14ac:dyDescent="0.25">
      <c r="A50" s="5" t="s">
        <v>50</v>
      </c>
      <c r="B50" s="6">
        <v>1453990</v>
      </c>
      <c r="C50" s="6">
        <v>650738</v>
      </c>
      <c r="D50" s="6" t="s">
        <v>8</v>
      </c>
      <c r="E50" s="6">
        <v>650738</v>
      </c>
    </row>
    <row r="51" spans="1:5" ht="15" x14ac:dyDescent="0.25">
      <c r="A51" s="5" t="s">
        <v>51</v>
      </c>
      <c r="B51" s="6">
        <v>344163</v>
      </c>
      <c r="C51" s="6">
        <v>94828</v>
      </c>
      <c r="D51" s="6">
        <v>94828</v>
      </c>
      <c r="E51" s="6">
        <v>0</v>
      </c>
    </row>
    <row r="52" spans="1:5" ht="15" x14ac:dyDescent="0.25">
      <c r="A52" s="5" t="s">
        <v>52</v>
      </c>
      <c r="B52" s="6">
        <v>1519825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129282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1799016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5718015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482188</v>
      </c>
      <c r="C56" s="6">
        <v>122212</v>
      </c>
      <c r="D56" s="6">
        <v>121258</v>
      </c>
      <c r="E56" s="6">
        <v>954</v>
      </c>
    </row>
    <row r="57" spans="1:5" ht="15" x14ac:dyDescent="0.25">
      <c r="A57" s="5" t="s">
        <v>57</v>
      </c>
      <c r="B57" s="6">
        <v>198364</v>
      </c>
      <c r="C57" s="6">
        <v>73212</v>
      </c>
      <c r="D57" s="6">
        <v>0</v>
      </c>
      <c r="E57" s="6">
        <v>73212</v>
      </c>
    </row>
    <row r="58" spans="1:5" ht="15" x14ac:dyDescent="0.25">
      <c r="A58" s="5" t="s">
        <v>58</v>
      </c>
      <c r="B58" s="6">
        <v>36460</v>
      </c>
      <c r="C58" s="6">
        <v>17759</v>
      </c>
      <c r="D58" s="6" t="s">
        <v>8</v>
      </c>
      <c r="E58" s="6">
        <v>17759</v>
      </c>
    </row>
    <row r="59" spans="1:5" ht="15" x14ac:dyDescent="0.25">
      <c r="A59" s="5" t="s">
        <v>59</v>
      </c>
      <c r="B59" s="6">
        <v>1833339</v>
      </c>
      <c r="C59" s="6">
        <v>646375</v>
      </c>
      <c r="D59" s="6">
        <v>646375</v>
      </c>
      <c r="E59" s="6">
        <v>0</v>
      </c>
    </row>
    <row r="60" spans="1:5" ht="15" x14ac:dyDescent="0.25">
      <c r="A60" s="5" t="s">
        <v>60</v>
      </c>
      <c r="B60" s="6">
        <v>2106537</v>
      </c>
      <c r="C60" s="6">
        <v>797135</v>
      </c>
      <c r="D60" s="6">
        <v>780126</v>
      </c>
      <c r="E60" s="6">
        <v>17009</v>
      </c>
    </row>
    <row r="61" spans="1:5" ht="15" x14ac:dyDescent="0.25">
      <c r="A61" s="5" t="s">
        <v>61</v>
      </c>
      <c r="B61" s="6">
        <v>636430</v>
      </c>
      <c r="C61" s="6">
        <v>230050</v>
      </c>
      <c r="D61" s="6">
        <v>230050</v>
      </c>
      <c r="E61" s="6">
        <v>0</v>
      </c>
    </row>
    <row r="62" spans="1:5" ht="15" x14ac:dyDescent="0.25">
      <c r="A62" s="5" t="s">
        <v>62</v>
      </c>
      <c r="B62" s="6">
        <v>1500034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78866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104075749</v>
      </c>
      <c r="C64" s="8">
        <f>SUM(C8:C63)</f>
        <v>33144607</v>
      </c>
      <c r="D64" s="8">
        <f>SUM(D8:D63)</f>
        <v>28628685</v>
      </c>
      <c r="E64" s="8">
        <f>SUM(E8:E63)</f>
        <v>4515922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October 23, 2023 12:23 PM&amp;R&amp;"-,Regular"&amp;7Page : &amp;"-,Regular"&amp;7&amp;P&amp;"-,Regular"&amp;7 of &amp;"-,Regular"&amp;7&amp;N</oddFooter>
    <evenFooter>&amp;L&amp;"-,Regular"&amp;7Created On: Monday, October 23, 2023 12:23 PM&amp;R&amp;"-,Regular"&amp;7Page : &amp;"-,Regular"&amp;7&amp;P&amp;"-,Regular"&amp;7 of &amp;"-,Regular"&amp;7&amp;N</evenFooter>
    <firstFooter>&amp;L&amp;"-,Regular"&amp;7Created On: Monday, October 23, 2023 12:23 PM&amp;R&amp;"-,Regular"&amp;7Page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6561-D5E1-447E-81C7-EB8CAE4AE1F3}">
  <sheetPr>
    <pageSetUpPr fitToPage="1"/>
  </sheetPr>
  <dimension ref="A1:E89"/>
  <sheetViews>
    <sheetView workbookViewId="0">
      <pane ySplit="7" topLeftCell="A66" activePane="bottomLeft" state="frozenSplit"/>
      <selection activeCell="A91" sqref="A91:XFD91"/>
      <selection pane="bottomLeft" activeCell="A91" sqref="A91:XFD91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164</v>
      </c>
      <c r="B2" s="2"/>
      <c r="C2" s="2"/>
      <c r="D2" s="2"/>
      <c r="E2" s="2"/>
    </row>
    <row r="3" spans="1:5" ht="15" x14ac:dyDescent="0.25">
      <c r="A3" s="2" t="s">
        <v>162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1272427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252965</v>
      </c>
      <c r="C9" s="6">
        <v>71149</v>
      </c>
      <c r="D9" s="6">
        <v>71147</v>
      </c>
      <c r="E9" s="6">
        <v>2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2342667</v>
      </c>
      <c r="C11" s="6">
        <v>680297</v>
      </c>
      <c r="D11" s="6">
        <v>190696</v>
      </c>
      <c r="E11" s="6">
        <v>489601</v>
      </c>
    </row>
    <row r="12" spans="1:5" ht="15" x14ac:dyDescent="0.25">
      <c r="A12" s="5" t="s">
        <v>12</v>
      </c>
      <c r="B12" s="6">
        <v>1032100</v>
      </c>
      <c r="C12" s="6">
        <v>341539</v>
      </c>
      <c r="D12" s="6">
        <v>330799</v>
      </c>
      <c r="E12" s="6">
        <v>10740</v>
      </c>
    </row>
    <row r="13" spans="1:5" ht="15" x14ac:dyDescent="0.25">
      <c r="A13" s="5" t="s">
        <v>13</v>
      </c>
      <c r="B13" s="6">
        <v>14484866</v>
      </c>
      <c r="C13" s="6">
        <v>4797754</v>
      </c>
      <c r="D13" s="6">
        <v>4767778</v>
      </c>
      <c r="E13" s="6">
        <v>29976</v>
      </c>
    </row>
    <row r="14" spans="1:5" ht="15" x14ac:dyDescent="0.25">
      <c r="A14" s="5" t="s">
        <v>14</v>
      </c>
      <c r="B14" s="6">
        <v>1617196</v>
      </c>
      <c r="C14" s="6">
        <v>593868</v>
      </c>
      <c r="D14" s="6">
        <v>582980</v>
      </c>
      <c r="E14" s="6">
        <v>10888</v>
      </c>
    </row>
    <row r="15" spans="1:5" ht="15" x14ac:dyDescent="0.25">
      <c r="A15" s="5" t="s">
        <v>15</v>
      </c>
      <c r="B15" s="6">
        <v>1122495</v>
      </c>
      <c r="C15" s="6">
        <v>356650</v>
      </c>
      <c r="D15" s="6">
        <v>326538</v>
      </c>
      <c r="E15" s="6">
        <v>30112</v>
      </c>
    </row>
    <row r="16" spans="1:5" ht="15" x14ac:dyDescent="0.25">
      <c r="A16" s="5" t="s">
        <v>16</v>
      </c>
      <c r="B16" s="6">
        <v>276559</v>
      </c>
      <c r="C16" s="6">
        <v>90358</v>
      </c>
      <c r="D16" s="6">
        <v>14117</v>
      </c>
      <c r="E16" s="6">
        <v>76241</v>
      </c>
    </row>
    <row r="17" spans="1:5" ht="15" x14ac:dyDescent="0.25">
      <c r="A17" s="5" t="s">
        <v>17</v>
      </c>
      <c r="B17" s="6">
        <v>283131</v>
      </c>
      <c r="C17" s="6">
        <v>131084</v>
      </c>
      <c r="D17" s="6">
        <v>86455</v>
      </c>
      <c r="E17" s="6">
        <v>44629</v>
      </c>
    </row>
    <row r="18" spans="1:5" ht="15" x14ac:dyDescent="0.25">
      <c r="A18" s="5" t="s">
        <v>18</v>
      </c>
      <c r="B18" s="6">
        <v>5216698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2486243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39550</v>
      </c>
      <c r="C20" s="6">
        <v>5035</v>
      </c>
      <c r="D20" s="6" t="s">
        <v>8</v>
      </c>
      <c r="E20" s="6">
        <v>5035</v>
      </c>
    </row>
    <row r="21" spans="1:5" ht="15" x14ac:dyDescent="0.25">
      <c r="A21" s="5" t="s">
        <v>21</v>
      </c>
      <c r="B21" s="6">
        <v>449696</v>
      </c>
      <c r="C21" s="6">
        <v>177989</v>
      </c>
      <c r="D21" s="6">
        <v>30692</v>
      </c>
      <c r="E21" s="6">
        <v>147297</v>
      </c>
    </row>
    <row r="22" spans="1:5" ht="15" x14ac:dyDescent="0.25">
      <c r="A22" s="5" t="s">
        <v>22</v>
      </c>
      <c r="B22" s="6">
        <v>445324</v>
      </c>
      <c r="C22" s="6">
        <v>128071</v>
      </c>
      <c r="D22" s="6">
        <v>128071</v>
      </c>
      <c r="E22" s="6">
        <v>0</v>
      </c>
    </row>
    <row r="23" spans="1:5" ht="15" x14ac:dyDescent="0.25">
      <c r="A23" s="5" t="s">
        <v>23</v>
      </c>
      <c r="B23" s="6">
        <v>3299577</v>
      </c>
      <c r="C23" s="6">
        <v>955295</v>
      </c>
      <c r="D23" s="6">
        <v>856462</v>
      </c>
      <c r="E23" s="6">
        <v>98833</v>
      </c>
    </row>
    <row r="24" spans="1:5" ht="15" x14ac:dyDescent="0.25">
      <c r="A24" s="5" t="s">
        <v>24</v>
      </c>
      <c r="B24" s="6">
        <v>1973242</v>
      </c>
      <c r="C24" s="6">
        <v>559531</v>
      </c>
      <c r="D24" s="6">
        <v>559531</v>
      </c>
      <c r="E24" s="6">
        <v>0</v>
      </c>
    </row>
    <row r="25" spans="1:5" ht="15" x14ac:dyDescent="0.25">
      <c r="A25" s="5" t="s">
        <v>25</v>
      </c>
      <c r="B25" s="6">
        <v>760685</v>
      </c>
      <c r="C25" s="6">
        <v>249192</v>
      </c>
      <c r="D25" s="6">
        <v>192798</v>
      </c>
      <c r="E25" s="6">
        <v>56394</v>
      </c>
    </row>
    <row r="26" spans="1:5" ht="15" x14ac:dyDescent="0.25">
      <c r="A26" s="5" t="s">
        <v>26</v>
      </c>
      <c r="B26" s="6">
        <v>448700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1523260</v>
      </c>
      <c r="C27" s="6">
        <v>609535</v>
      </c>
      <c r="D27" s="6">
        <v>609535</v>
      </c>
      <c r="E27" s="6">
        <v>0</v>
      </c>
    </row>
    <row r="28" spans="1:5" ht="15" x14ac:dyDescent="0.25">
      <c r="A28" s="5" t="s">
        <v>28</v>
      </c>
      <c r="B28" s="6">
        <v>1972246</v>
      </c>
      <c r="C28" s="6">
        <v>736698</v>
      </c>
      <c r="D28" s="6">
        <v>736698</v>
      </c>
      <c r="E28" s="6">
        <v>0</v>
      </c>
    </row>
    <row r="29" spans="1:5" ht="15" x14ac:dyDescent="0.25">
      <c r="A29" s="5" t="s">
        <v>29</v>
      </c>
      <c r="B29" s="6">
        <v>377849</v>
      </c>
      <c r="C29" s="6">
        <v>101431</v>
      </c>
      <c r="D29" s="6">
        <v>80324</v>
      </c>
      <c r="E29" s="6">
        <v>21107</v>
      </c>
    </row>
    <row r="30" spans="1:5" ht="15" x14ac:dyDescent="0.25">
      <c r="A30" s="5" t="s">
        <v>30</v>
      </c>
      <c r="B30" s="6">
        <v>1534881</v>
      </c>
      <c r="C30" s="6">
        <v>440512</v>
      </c>
      <c r="D30" s="6">
        <v>440512</v>
      </c>
      <c r="E30" s="6">
        <v>0</v>
      </c>
    </row>
    <row r="31" spans="1:5" ht="15" x14ac:dyDescent="0.25">
      <c r="A31" s="5" t="s">
        <v>31</v>
      </c>
      <c r="B31" s="6">
        <v>2078008</v>
      </c>
      <c r="C31" s="6">
        <v>465120</v>
      </c>
      <c r="D31" s="6">
        <v>0</v>
      </c>
      <c r="E31" s="6">
        <v>465120</v>
      </c>
    </row>
    <row r="32" spans="1:5" ht="15" x14ac:dyDescent="0.25">
      <c r="A32" s="5" t="s">
        <v>32</v>
      </c>
      <c r="B32" s="6">
        <v>2960800</v>
      </c>
      <c r="C32" s="6">
        <v>1002813</v>
      </c>
      <c r="D32" s="6">
        <v>938422</v>
      </c>
      <c r="E32" s="6">
        <v>64391</v>
      </c>
    </row>
    <row r="33" spans="1:5" ht="15" x14ac:dyDescent="0.25">
      <c r="A33" s="5" t="s">
        <v>33</v>
      </c>
      <c r="B33" s="6">
        <v>1327315</v>
      </c>
      <c r="C33" s="6">
        <v>289503</v>
      </c>
      <c r="D33" s="6">
        <v>289503</v>
      </c>
      <c r="E33" s="6">
        <v>0</v>
      </c>
    </row>
    <row r="34" spans="1:5" ht="15" x14ac:dyDescent="0.25">
      <c r="A34" s="5" t="s">
        <v>34</v>
      </c>
      <c r="B34" s="6">
        <v>810787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1261554</v>
      </c>
      <c r="C35" s="6">
        <v>181532</v>
      </c>
      <c r="D35" s="6">
        <v>181532</v>
      </c>
      <c r="E35" s="6">
        <v>0</v>
      </c>
    </row>
    <row r="36" spans="1:5" ht="15" x14ac:dyDescent="0.25">
      <c r="A36" s="5" t="s">
        <v>36</v>
      </c>
      <c r="B36" s="6">
        <v>296732</v>
      </c>
      <c r="C36" s="6">
        <v>116163</v>
      </c>
      <c r="D36" s="6">
        <v>116163</v>
      </c>
      <c r="E36" s="6">
        <v>0</v>
      </c>
    </row>
    <row r="37" spans="1:5" ht="15" x14ac:dyDescent="0.25">
      <c r="A37" s="5" t="s">
        <v>37</v>
      </c>
      <c r="B37" s="6">
        <v>19607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369068</v>
      </c>
      <c r="C38" s="6">
        <v>68933</v>
      </c>
      <c r="D38" s="6">
        <v>67484</v>
      </c>
      <c r="E38" s="6">
        <v>1449</v>
      </c>
    </row>
    <row r="39" spans="1:5" ht="15" x14ac:dyDescent="0.25">
      <c r="A39" s="5" t="s">
        <v>39</v>
      </c>
      <c r="B39" s="6">
        <v>805532</v>
      </c>
      <c r="C39" s="6">
        <v>347537</v>
      </c>
      <c r="D39" s="6">
        <v>347537</v>
      </c>
      <c r="E39" s="6">
        <v>0</v>
      </c>
    </row>
    <row r="40" spans="1:5" ht="15" x14ac:dyDescent="0.25">
      <c r="A40" s="5" t="s">
        <v>40</v>
      </c>
      <c r="B40" s="6">
        <v>230860</v>
      </c>
      <c r="C40" s="6">
        <v>89325</v>
      </c>
      <c r="D40" s="6">
        <v>88859</v>
      </c>
      <c r="E40" s="6">
        <v>466</v>
      </c>
    </row>
    <row r="41" spans="1:5" ht="15" x14ac:dyDescent="0.25">
      <c r="A41" s="5" t="s">
        <v>41</v>
      </c>
      <c r="B41" s="6">
        <v>2012852</v>
      </c>
      <c r="C41" s="6">
        <v>737761</v>
      </c>
      <c r="D41" s="6">
        <v>737761</v>
      </c>
      <c r="E41" s="6">
        <v>0</v>
      </c>
    </row>
    <row r="42" spans="1:5" ht="15" x14ac:dyDescent="0.25">
      <c r="A42" s="5" t="s">
        <v>42</v>
      </c>
      <c r="B42" s="6">
        <v>973773</v>
      </c>
      <c r="C42" s="6">
        <v>295168</v>
      </c>
      <c r="D42" s="6">
        <v>295168</v>
      </c>
      <c r="E42" s="6">
        <v>0</v>
      </c>
    </row>
    <row r="43" spans="1:5" ht="15" x14ac:dyDescent="0.25">
      <c r="A43" s="5" t="s">
        <v>43</v>
      </c>
      <c r="B43" s="6">
        <v>7464332</v>
      </c>
      <c r="C43" s="6">
        <v>2481337</v>
      </c>
      <c r="D43" s="6">
        <v>427970</v>
      </c>
      <c r="E43" s="6">
        <v>2053367</v>
      </c>
    </row>
    <row r="44" spans="1:5" ht="15" x14ac:dyDescent="0.25">
      <c r="A44" s="5" t="s">
        <v>44</v>
      </c>
      <c r="B44" s="6">
        <v>2763316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124550</v>
      </c>
      <c r="C45" s="6">
        <v>33197</v>
      </c>
      <c r="D45" s="6">
        <v>31555</v>
      </c>
      <c r="E45" s="6">
        <v>1642</v>
      </c>
    </row>
    <row r="46" spans="1:5" ht="15" x14ac:dyDescent="0.25">
      <c r="A46" s="5" t="s">
        <v>46</v>
      </c>
      <c r="B46" s="6">
        <v>3459132</v>
      </c>
      <c r="C46" s="6">
        <v>839537</v>
      </c>
      <c r="D46" s="6">
        <v>839310</v>
      </c>
      <c r="E46" s="6">
        <v>227</v>
      </c>
    </row>
    <row r="47" spans="1:5" ht="15" x14ac:dyDescent="0.25">
      <c r="A47" s="5" t="s">
        <v>47</v>
      </c>
      <c r="B47" s="6">
        <v>1143285</v>
      </c>
      <c r="C47" s="6">
        <v>296093</v>
      </c>
      <c r="D47" s="6">
        <v>296093</v>
      </c>
      <c r="E47" s="6">
        <v>0</v>
      </c>
    </row>
    <row r="48" spans="1:5" ht="15" x14ac:dyDescent="0.25">
      <c r="A48" s="5" t="s">
        <v>48</v>
      </c>
      <c r="B48" s="6">
        <v>1248992</v>
      </c>
      <c r="C48" s="6">
        <v>688192</v>
      </c>
      <c r="D48" s="6">
        <v>588008</v>
      </c>
      <c r="E48" s="6">
        <v>100184</v>
      </c>
    </row>
    <row r="49" spans="1:5" ht="15" x14ac:dyDescent="0.25">
      <c r="A49" s="5" t="s">
        <v>49</v>
      </c>
      <c r="B49" s="6">
        <v>3511164</v>
      </c>
      <c r="C49" s="6">
        <v>1116342</v>
      </c>
      <c r="D49" s="6">
        <v>1054694</v>
      </c>
      <c r="E49" s="6">
        <v>61648</v>
      </c>
    </row>
    <row r="50" spans="1:5" ht="15" x14ac:dyDescent="0.25">
      <c r="A50" s="5" t="s">
        <v>50</v>
      </c>
      <c r="B50" s="6">
        <v>1458312</v>
      </c>
      <c r="C50" s="6">
        <v>653399</v>
      </c>
      <c r="D50" s="6" t="s">
        <v>8</v>
      </c>
      <c r="E50" s="6">
        <v>653399</v>
      </c>
    </row>
    <row r="51" spans="1:5" ht="15" x14ac:dyDescent="0.25">
      <c r="A51" s="5" t="s">
        <v>51</v>
      </c>
      <c r="B51" s="6">
        <v>345319</v>
      </c>
      <c r="C51" s="6">
        <v>95385</v>
      </c>
      <c r="D51" s="6">
        <v>95385</v>
      </c>
      <c r="E51" s="6">
        <v>0</v>
      </c>
    </row>
    <row r="52" spans="1:5" ht="15" x14ac:dyDescent="0.25">
      <c r="A52" s="5" t="s">
        <v>52</v>
      </c>
      <c r="B52" s="6">
        <v>1525861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130323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1804588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5776387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486408</v>
      </c>
      <c r="C56" s="6">
        <v>124328</v>
      </c>
      <c r="D56" s="6">
        <v>123350</v>
      </c>
      <c r="E56" s="6">
        <v>978</v>
      </c>
    </row>
    <row r="57" spans="1:5" ht="15" x14ac:dyDescent="0.25">
      <c r="A57" s="5" t="s">
        <v>57</v>
      </c>
      <c r="B57" s="6">
        <v>198955</v>
      </c>
      <c r="C57" s="6">
        <v>73495</v>
      </c>
      <c r="D57" s="6">
        <v>0</v>
      </c>
      <c r="E57" s="6">
        <v>73495</v>
      </c>
    </row>
    <row r="58" spans="1:5" ht="15" x14ac:dyDescent="0.25">
      <c r="A58" s="5" t="s">
        <v>58</v>
      </c>
      <c r="B58" s="6">
        <v>36636</v>
      </c>
      <c r="C58" s="6">
        <v>17866</v>
      </c>
      <c r="D58" s="6" t="s">
        <v>8</v>
      </c>
      <c r="E58" s="6">
        <v>17866</v>
      </c>
    </row>
    <row r="59" spans="1:5" ht="15" x14ac:dyDescent="0.25">
      <c r="A59" s="5" t="s">
        <v>59</v>
      </c>
      <c r="B59" s="6">
        <v>1844431</v>
      </c>
      <c r="C59" s="6">
        <v>657952</v>
      </c>
      <c r="D59" s="6">
        <v>657952</v>
      </c>
      <c r="E59" s="6">
        <v>0</v>
      </c>
    </row>
    <row r="60" spans="1:5" ht="15" x14ac:dyDescent="0.25">
      <c r="A60" s="5" t="s">
        <v>60</v>
      </c>
      <c r="B60" s="6">
        <v>2113834</v>
      </c>
      <c r="C60" s="6">
        <v>801765</v>
      </c>
      <c r="D60" s="6">
        <v>784290</v>
      </c>
      <c r="E60" s="6">
        <v>17475</v>
      </c>
    </row>
    <row r="61" spans="1:5" ht="15" x14ac:dyDescent="0.25">
      <c r="A61" s="5" t="s">
        <v>61</v>
      </c>
      <c r="B61" s="6">
        <v>638736</v>
      </c>
      <c r="C61" s="6">
        <v>231705</v>
      </c>
      <c r="D61" s="6">
        <v>231705</v>
      </c>
      <c r="E61" s="6">
        <v>0</v>
      </c>
    </row>
    <row r="62" spans="1:5" ht="15" x14ac:dyDescent="0.25">
      <c r="A62" s="5" t="s">
        <v>62</v>
      </c>
      <c r="B62" s="6">
        <v>1507893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78527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94051660</v>
      </c>
      <c r="C64" s="8">
        <f>SUM(C8:C63)</f>
        <v>22730436</v>
      </c>
      <c r="D64" s="8">
        <f>SUM(D8:D63)</f>
        <v>18197874</v>
      </c>
      <c r="E64" s="8">
        <f>SUM(E8:E63)</f>
        <v>4532562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October 23, 2023 12:23 PM&amp;R&amp;"-,Regular"&amp;7Page : &amp;"-,Regular"&amp;7&amp;P&amp;"-,Regular"&amp;7 of &amp;"-,Regular"&amp;7&amp;N</oddFooter>
    <evenFooter>&amp;L&amp;"-,Regular"&amp;7Created On: Monday, October 23, 2023 12:23 PM&amp;R&amp;"-,Regular"&amp;7Page : &amp;"-,Regular"&amp;7&amp;P&amp;"-,Regular"&amp;7 of &amp;"-,Regular"&amp;7&amp;N</evenFooter>
    <firstFooter>&amp;L&amp;"-,Regular"&amp;7Created On: Monday, October 23, 2023 12:23 PM&amp;R&amp;"-,Regular"&amp;7Page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D602-8A41-44E0-9948-6766C2D4894F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165</v>
      </c>
      <c r="B2" s="2"/>
      <c r="C2" s="2"/>
      <c r="D2" s="2"/>
      <c r="E2" s="2"/>
    </row>
    <row r="3" spans="1:5" ht="15" x14ac:dyDescent="0.25">
      <c r="A3" s="2" t="s">
        <v>162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1280214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253535</v>
      </c>
      <c r="C9" s="6">
        <v>71346</v>
      </c>
      <c r="D9" s="6">
        <v>71343</v>
      </c>
      <c r="E9" s="6">
        <v>3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2384231</v>
      </c>
      <c r="C11" s="6">
        <v>698252</v>
      </c>
      <c r="D11" s="6">
        <v>191645</v>
      </c>
      <c r="E11" s="6">
        <v>506607</v>
      </c>
    </row>
    <row r="12" spans="1:5" ht="15" x14ac:dyDescent="0.25">
      <c r="A12" s="5" t="s">
        <v>12</v>
      </c>
      <c r="B12" s="6">
        <v>1036836</v>
      </c>
      <c r="C12" s="6">
        <v>342479</v>
      </c>
      <c r="D12" s="6">
        <v>330576</v>
      </c>
      <c r="E12" s="6">
        <v>11903</v>
      </c>
    </row>
    <row r="13" spans="1:5" ht="15" x14ac:dyDescent="0.25">
      <c r="A13" s="5" t="s">
        <v>13</v>
      </c>
      <c r="B13" s="6">
        <v>14525611</v>
      </c>
      <c r="C13" s="6">
        <v>4824494</v>
      </c>
      <c r="D13" s="6">
        <v>4794365</v>
      </c>
      <c r="E13" s="6">
        <v>30129</v>
      </c>
    </row>
    <row r="14" spans="1:5" ht="15" x14ac:dyDescent="0.25">
      <c r="A14" s="5" t="s">
        <v>14</v>
      </c>
      <c r="B14" s="6">
        <v>1625572</v>
      </c>
      <c r="C14" s="6">
        <v>598583</v>
      </c>
      <c r="D14" s="6">
        <v>587760</v>
      </c>
      <c r="E14" s="6">
        <v>10823</v>
      </c>
    </row>
    <row r="15" spans="1:5" ht="15" x14ac:dyDescent="0.25">
      <c r="A15" s="5" t="s">
        <v>15</v>
      </c>
      <c r="B15" s="6">
        <v>1124588</v>
      </c>
      <c r="C15" s="6">
        <v>358113</v>
      </c>
      <c r="D15" s="6">
        <v>327783</v>
      </c>
      <c r="E15" s="6">
        <v>30330</v>
      </c>
    </row>
    <row r="16" spans="1:5" ht="15" x14ac:dyDescent="0.25">
      <c r="A16" s="5" t="s">
        <v>16</v>
      </c>
      <c r="B16" s="6">
        <v>278397</v>
      </c>
      <c r="C16" s="6">
        <v>91039</v>
      </c>
      <c r="D16" s="6">
        <v>14253</v>
      </c>
      <c r="E16" s="6">
        <v>76786</v>
      </c>
    </row>
    <row r="17" spans="1:5" ht="15" x14ac:dyDescent="0.25">
      <c r="A17" s="5" t="s">
        <v>17</v>
      </c>
      <c r="B17" s="6">
        <v>284270</v>
      </c>
      <c r="C17" s="6">
        <v>131772</v>
      </c>
      <c r="D17" s="6">
        <v>87176</v>
      </c>
      <c r="E17" s="6">
        <v>44596</v>
      </c>
    </row>
    <row r="18" spans="1:5" ht="15" x14ac:dyDescent="0.25">
      <c r="A18" s="5" t="s">
        <v>18</v>
      </c>
      <c r="B18" s="6">
        <v>5267595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2503284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39715</v>
      </c>
      <c r="C20" s="6">
        <v>5057</v>
      </c>
      <c r="D20" s="6" t="s">
        <v>8</v>
      </c>
      <c r="E20" s="6">
        <v>5057</v>
      </c>
    </row>
    <row r="21" spans="1:5" ht="15" x14ac:dyDescent="0.25">
      <c r="A21" s="5" t="s">
        <v>21</v>
      </c>
      <c r="B21" s="6">
        <v>451907</v>
      </c>
      <c r="C21" s="6">
        <v>179331</v>
      </c>
      <c r="D21" s="6">
        <v>30698</v>
      </c>
      <c r="E21" s="6">
        <v>148633</v>
      </c>
    </row>
    <row r="22" spans="1:5" ht="15" x14ac:dyDescent="0.25">
      <c r="A22" s="5" t="s">
        <v>22</v>
      </c>
      <c r="B22" s="6">
        <v>445207</v>
      </c>
      <c r="C22" s="6">
        <v>128537</v>
      </c>
      <c r="D22" s="6">
        <v>128537</v>
      </c>
      <c r="E22" s="6">
        <v>0</v>
      </c>
    </row>
    <row r="23" spans="1:5" ht="15" x14ac:dyDescent="0.25">
      <c r="A23" s="5" t="s">
        <v>23</v>
      </c>
      <c r="B23" s="6">
        <v>3315552</v>
      </c>
      <c r="C23" s="6">
        <v>961088</v>
      </c>
      <c r="D23" s="6">
        <v>862650</v>
      </c>
      <c r="E23" s="6">
        <v>98438</v>
      </c>
    </row>
    <row r="24" spans="1:5" ht="15" x14ac:dyDescent="0.25">
      <c r="A24" s="5" t="s">
        <v>24</v>
      </c>
      <c r="B24" s="6">
        <v>1972032</v>
      </c>
      <c r="C24" s="6">
        <v>562624</v>
      </c>
      <c r="D24" s="6">
        <v>562624</v>
      </c>
      <c r="E24" s="6">
        <v>0</v>
      </c>
    </row>
    <row r="25" spans="1:5" ht="15" x14ac:dyDescent="0.25">
      <c r="A25" s="5" t="s">
        <v>25</v>
      </c>
      <c r="B25" s="6">
        <v>763574</v>
      </c>
      <c r="C25" s="6">
        <v>250154</v>
      </c>
      <c r="D25" s="6">
        <v>192349</v>
      </c>
      <c r="E25" s="6">
        <v>57805</v>
      </c>
    </row>
    <row r="26" spans="1:5" ht="15" x14ac:dyDescent="0.25">
      <c r="A26" s="5" t="s">
        <v>26</v>
      </c>
      <c r="B26" s="6">
        <v>451923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1528932</v>
      </c>
      <c r="C27" s="6">
        <v>613759</v>
      </c>
      <c r="D27" s="6">
        <v>613759</v>
      </c>
      <c r="E27" s="6">
        <v>0</v>
      </c>
    </row>
    <row r="28" spans="1:5" ht="15" x14ac:dyDescent="0.25">
      <c r="A28" s="5" t="s">
        <v>28</v>
      </c>
      <c r="B28" s="6">
        <v>1976085</v>
      </c>
      <c r="C28" s="6">
        <v>739413</v>
      </c>
      <c r="D28" s="6">
        <v>739413</v>
      </c>
      <c r="E28" s="6">
        <v>0</v>
      </c>
    </row>
    <row r="29" spans="1:5" ht="15" x14ac:dyDescent="0.25">
      <c r="A29" s="5" t="s">
        <v>29</v>
      </c>
      <c r="B29" s="6">
        <v>378421</v>
      </c>
      <c r="C29" s="6">
        <v>101446</v>
      </c>
      <c r="D29" s="6">
        <v>80373</v>
      </c>
      <c r="E29" s="6">
        <v>21073</v>
      </c>
    </row>
    <row r="30" spans="1:5" ht="15" x14ac:dyDescent="0.25">
      <c r="A30" s="5" t="s">
        <v>30</v>
      </c>
      <c r="B30" s="6">
        <v>1541215</v>
      </c>
      <c r="C30" s="6">
        <v>443008</v>
      </c>
      <c r="D30" s="6">
        <v>443008</v>
      </c>
      <c r="E30" s="6">
        <v>0</v>
      </c>
    </row>
    <row r="31" spans="1:5" ht="15" x14ac:dyDescent="0.25">
      <c r="A31" s="5" t="s">
        <v>31</v>
      </c>
      <c r="B31" s="6">
        <v>2091126</v>
      </c>
      <c r="C31" s="6">
        <v>466793</v>
      </c>
      <c r="D31" s="6">
        <v>0</v>
      </c>
      <c r="E31" s="6">
        <v>466793</v>
      </c>
    </row>
    <row r="32" spans="1:5" ht="15" x14ac:dyDescent="0.25">
      <c r="A32" s="5" t="s">
        <v>32</v>
      </c>
      <c r="B32" s="6">
        <v>2970365</v>
      </c>
      <c r="C32" s="6">
        <v>1007309</v>
      </c>
      <c r="D32" s="6">
        <v>942677</v>
      </c>
      <c r="E32" s="6">
        <v>64632</v>
      </c>
    </row>
    <row r="33" spans="1:5" ht="15" x14ac:dyDescent="0.25">
      <c r="A33" s="5" t="s">
        <v>33</v>
      </c>
      <c r="B33" s="6">
        <v>1328252</v>
      </c>
      <c r="C33" s="6">
        <v>291199</v>
      </c>
      <c r="D33" s="6">
        <v>291199</v>
      </c>
      <c r="E33" s="6">
        <v>0</v>
      </c>
    </row>
    <row r="34" spans="1:5" ht="15" x14ac:dyDescent="0.25">
      <c r="A34" s="5" t="s">
        <v>34</v>
      </c>
      <c r="B34" s="6">
        <v>814114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1286398</v>
      </c>
      <c r="C35" s="6">
        <v>196572</v>
      </c>
      <c r="D35" s="6">
        <v>196572</v>
      </c>
      <c r="E35" s="6">
        <v>0</v>
      </c>
    </row>
    <row r="36" spans="1:5" ht="15" x14ac:dyDescent="0.25">
      <c r="A36" s="5" t="s">
        <v>36</v>
      </c>
      <c r="B36" s="6">
        <v>298138</v>
      </c>
      <c r="C36" s="6">
        <v>116737</v>
      </c>
      <c r="D36" s="6">
        <v>116737</v>
      </c>
      <c r="E36" s="6">
        <v>0</v>
      </c>
    </row>
    <row r="37" spans="1:5" ht="15" x14ac:dyDescent="0.25">
      <c r="A37" s="5" t="s">
        <v>37</v>
      </c>
      <c r="B37" s="6">
        <v>21323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379127</v>
      </c>
      <c r="C38" s="6">
        <v>77963</v>
      </c>
      <c r="D38" s="6">
        <v>76260</v>
      </c>
      <c r="E38" s="6">
        <v>1703</v>
      </c>
    </row>
    <row r="39" spans="1:5" ht="15" x14ac:dyDescent="0.25">
      <c r="A39" s="5" t="s">
        <v>39</v>
      </c>
      <c r="B39" s="6">
        <v>809826</v>
      </c>
      <c r="C39" s="6">
        <v>351576</v>
      </c>
      <c r="D39" s="6">
        <v>351576</v>
      </c>
      <c r="E39" s="6">
        <v>0</v>
      </c>
    </row>
    <row r="40" spans="1:5" ht="15" x14ac:dyDescent="0.25">
      <c r="A40" s="5" t="s">
        <v>40</v>
      </c>
      <c r="B40" s="6">
        <v>231718</v>
      </c>
      <c r="C40" s="6">
        <v>89869</v>
      </c>
      <c r="D40" s="6">
        <v>89402</v>
      </c>
      <c r="E40" s="6">
        <v>467</v>
      </c>
    </row>
    <row r="41" spans="1:5" ht="15" x14ac:dyDescent="0.25">
      <c r="A41" s="5" t="s">
        <v>41</v>
      </c>
      <c r="B41" s="6">
        <v>2021523</v>
      </c>
      <c r="C41" s="6">
        <v>741414</v>
      </c>
      <c r="D41" s="6">
        <v>741414</v>
      </c>
      <c r="E41" s="6">
        <v>0</v>
      </c>
    </row>
    <row r="42" spans="1:5" ht="15" x14ac:dyDescent="0.25">
      <c r="A42" s="5" t="s">
        <v>42</v>
      </c>
      <c r="B42" s="6">
        <v>973484</v>
      </c>
      <c r="C42" s="6">
        <v>294517</v>
      </c>
      <c r="D42" s="6">
        <v>294517</v>
      </c>
      <c r="E42" s="6">
        <v>0</v>
      </c>
    </row>
    <row r="43" spans="1:5" ht="15" x14ac:dyDescent="0.25">
      <c r="A43" s="5" t="s">
        <v>43</v>
      </c>
      <c r="B43" s="6">
        <v>7488986</v>
      </c>
      <c r="C43" s="6">
        <v>2489750</v>
      </c>
      <c r="D43" s="6">
        <v>428700</v>
      </c>
      <c r="E43" s="6">
        <v>2061050</v>
      </c>
    </row>
    <row r="44" spans="1:5" ht="15" x14ac:dyDescent="0.25">
      <c r="A44" s="5" t="s">
        <v>44</v>
      </c>
      <c r="B44" s="6">
        <v>2782756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125350</v>
      </c>
      <c r="C45" s="6">
        <v>33639</v>
      </c>
      <c r="D45" s="6">
        <v>31989</v>
      </c>
      <c r="E45" s="6">
        <v>1650</v>
      </c>
    </row>
    <row r="46" spans="1:5" ht="15" x14ac:dyDescent="0.25">
      <c r="A46" s="5" t="s">
        <v>46</v>
      </c>
      <c r="B46" s="6">
        <v>3474820</v>
      </c>
      <c r="C46" s="6">
        <v>847019</v>
      </c>
      <c r="D46" s="6">
        <v>846789</v>
      </c>
      <c r="E46" s="6">
        <v>230</v>
      </c>
    </row>
    <row r="47" spans="1:5" ht="15" x14ac:dyDescent="0.25">
      <c r="A47" s="5" t="s">
        <v>47</v>
      </c>
      <c r="B47" s="6">
        <v>1142535</v>
      </c>
      <c r="C47" s="6">
        <v>303677</v>
      </c>
      <c r="D47" s="6">
        <v>303677</v>
      </c>
      <c r="E47" s="6">
        <v>0</v>
      </c>
    </row>
    <row r="48" spans="1:5" ht="15" x14ac:dyDescent="0.25">
      <c r="A48" s="5" t="s">
        <v>48</v>
      </c>
      <c r="B48" s="6">
        <v>1252404</v>
      </c>
      <c r="C48" s="6">
        <v>692131</v>
      </c>
      <c r="D48" s="6">
        <v>591792</v>
      </c>
      <c r="E48" s="6">
        <v>100339</v>
      </c>
    </row>
    <row r="49" spans="1:5" ht="15" x14ac:dyDescent="0.25">
      <c r="A49" s="5" t="s">
        <v>49</v>
      </c>
      <c r="B49" s="6">
        <v>3524618</v>
      </c>
      <c r="C49" s="6">
        <v>1121368</v>
      </c>
      <c r="D49" s="6">
        <v>1058733</v>
      </c>
      <c r="E49" s="6">
        <v>62635</v>
      </c>
    </row>
    <row r="50" spans="1:5" ht="15" x14ac:dyDescent="0.25">
      <c r="A50" s="5" t="s">
        <v>50</v>
      </c>
      <c r="B50" s="6">
        <v>1463054</v>
      </c>
      <c r="C50" s="6">
        <v>651643</v>
      </c>
      <c r="D50" s="6" t="s">
        <v>8</v>
      </c>
      <c r="E50" s="6">
        <v>651643</v>
      </c>
    </row>
    <row r="51" spans="1:5" ht="15" x14ac:dyDescent="0.25">
      <c r="A51" s="5" t="s">
        <v>51</v>
      </c>
      <c r="B51" s="6">
        <v>347924</v>
      </c>
      <c r="C51" s="6">
        <v>96805</v>
      </c>
      <c r="D51" s="6">
        <v>96805</v>
      </c>
      <c r="E51" s="6">
        <v>0</v>
      </c>
    </row>
    <row r="52" spans="1:5" ht="15" x14ac:dyDescent="0.25">
      <c r="A52" s="5" t="s">
        <v>52</v>
      </c>
      <c r="B52" s="6">
        <v>1533868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131298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1809782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5817434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490736</v>
      </c>
      <c r="C56" s="6">
        <v>126355</v>
      </c>
      <c r="D56" s="6">
        <v>125391</v>
      </c>
      <c r="E56" s="6">
        <v>964</v>
      </c>
    </row>
    <row r="57" spans="1:5" ht="15" x14ac:dyDescent="0.25">
      <c r="A57" s="5" t="s">
        <v>57</v>
      </c>
      <c r="B57" s="6">
        <v>199745</v>
      </c>
      <c r="C57" s="6">
        <v>74039</v>
      </c>
      <c r="D57" s="6">
        <v>0</v>
      </c>
      <c r="E57" s="6">
        <v>74039</v>
      </c>
    </row>
    <row r="58" spans="1:5" ht="15" x14ac:dyDescent="0.25">
      <c r="A58" s="5" t="s">
        <v>58</v>
      </c>
      <c r="B58" s="6">
        <v>36796</v>
      </c>
      <c r="C58" s="6">
        <v>17984</v>
      </c>
      <c r="D58" s="6" t="s">
        <v>8</v>
      </c>
      <c r="E58" s="6">
        <v>17984</v>
      </c>
    </row>
    <row r="59" spans="1:5" ht="15" x14ac:dyDescent="0.25">
      <c r="A59" s="5" t="s">
        <v>59</v>
      </c>
      <c r="B59" s="6">
        <v>1853873</v>
      </c>
      <c r="C59" s="6">
        <v>665154</v>
      </c>
      <c r="D59" s="6">
        <v>665154</v>
      </c>
      <c r="E59" s="6">
        <v>0</v>
      </c>
    </row>
    <row r="60" spans="1:5" ht="15" x14ac:dyDescent="0.25">
      <c r="A60" s="5" t="s">
        <v>60</v>
      </c>
      <c r="B60" s="6">
        <v>2120092</v>
      </c>
      <c r="C60" s="6">
        <v>806609</v>
      </c>
      <c r="D60" s="6">
        <v>789084</v>
      </c>
      <c r="E60" s="6">
        <v>17525</v>
      </c>
    </row>
    <row r="61" spans="1:5" ht="15" x14ac:dyDescent="0.25">
      <c r="A61" s="5" t="s">
        <v>61</v>
      </c>
      <c r="B61" s="6">
        <v>641869</v>
      </c>
      <c r="C61" s="6">
        <v>233490</v>
      </c>
      <c r="D61" s="6">
        <v>233490</v>
      </c>
      <c r="E61" s="6">
        <v>0</v>
      </c>
    </row>
    <row r="62" spans="1:5" ht="15" x14ac:dyDescent="0.25">
      <c r="A62" s="5" t="s">
        <v>62</v>
      </c>
      <c r="B62" s="6">
        <v>1514528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79730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94517722</v>
      </c>
      <c r="C64" s="8">
        <f>SUM(C8:C63)</f>
        <v>22894107</v>
      </c>
      <c r="D64" s="8">
        <f>SUM(D8:D63)</f>
        <v>18330270</v>
      </c>
      <c r="E64" s="8">
        <f>SUM(E8:E63)</f>
        <v>4563837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October 23, 2023 12:23 PM&amp;R&amp;"-,Regular"&amp;7Page : &amp;"-,Regular"&amp;7&amp;P&amp;"-,Regular"&amp;7 of &amp;"-,Regular"&amp;7&amp;N</oddFooter>
    <evenFooter>&amp;L&amp;"-,Regular"&amp;7Created On: Monday, October 23, 2023 12:23 PM&amp;R&amp;"-,Regular"&amp;7Page : &amp;"-,Regular"&amp;7&amp;P&amp;"-,Regular"&amp;7 of &amp;"-,Regular"&amp;7&amp;N</evenFooter>
    <firstFooter>&amp;L&amp;"-,Regular"&amp;7Created On: Monday, October 23, 2023 12:23 PM&amp;R&amp;"-,Regular"&amp;7Page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993-12D1-489F-916F-8E22EE6854B4}">
  <sheetPr>
    <pageSetUpPr fitToPage="1"/>
  </sheetPr>
  <dimension ref="A1:E91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168</v>
      </c>
      <c r="B2" s="2"/>
      <c r="C2" s="2"/>
      <c r="D2" s="2"/>
      <c r="E2" s="2"/>
    </row>
    <row r="3" spans="1:5" ht="15" x14ac:dyDescent="0.25">
      <c r="A3" s="2" t="s">
        <v>167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1287819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254283</v>
      </c>
      <c r="C9" s="6">
        <v>71743</v>
      </c>
      <c r="D9" s="6">
        <v>71742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2367046</v>
      </c>
      <c r="C11" s="6">
        <v>692627</v>
      </c>
      <c r="D11" s="6">
        <v>191001</v>
      </c>
      <c r="E11" s="6">
        <v>501626</v>
      </c>
    </row>
    <row r="12" spans="1:5" ht="15" x14ac:dyDescent="0.25">
      <c r="A12" s="5" t="s">
        <v>12</v>
      </c>
      <c r="B12" s="6">
        <v>1040107</v>
      </c>
      <c r="C12" s="6">
        <v>342184</v>
      </c>
      <c r="D12" s="6">
        <v>329397</v>
      </c>
      <c r="E12" s="6">
        <v>12787</v>
      </c>
    </row>
    <row r="13" spans="1:5" ht="15" x14ac:dyDescent="0.25">
      <c r="A13" s="5" t="s">
        <v>13</v>
      </c>
      <c r="B13" s="6">
        <v>14671665</v>
      </c>
      <c r="C13" s="6">
        <v>4873642</v>
      </c>
      <c r="D13" s="6">
        <v>4843425</v>
      </c>
      <c r="E13" s="6">
        <v>30217</v>
      </c>
    </row>
    <row r="14" spans="1:5" ht="15" x14ac:dyDescent="0.25">
      <c r="A14" s="5" t="s">
        <v>14</v>
      </c>
      <c r="B14" s="6">
        <v>1632065</v>
      </c>
      <c r="C14" s="6">
        <v>598305</v>
      </c>
      <c r="D14" s="6">
        <v>590774</v>
      </c>
      <c r="E14" s="6">
        <v>7531</v>
      </c>
    </row>
    <row r="15" spans="1:5" ht="15" x14ac:dyDescent="0.25">
      <c r="A15" s="5" t="s">
        <v>15</v>
      </c>
      <c r="B15" s="6">
        <v>1140225</v>
      </c>
      <c r="C15" s="6">
        <v>360654</v>
      </c>
      <c r="D15" s="6">
        <v>330121</v>
      </c>
      <c r="E15" s="6">
        <v>30533</v>
      </c>
    </row>
    <row r="16" spans="1:5" ht="15" x14ac:dyDescent="0.25">
      <c r="A16" s="5" t="s">
        <v>16</v>
      </c>
      <c r="B16" s="6">
        <v>280579</v>
      </c>
      <c r="C16" s="6">
        <v>91734</v>
      </c>
      <c r="D16" s="6">
        <v>14322</v>
      </c>
      <c r="E16" s="6">
        <v>77412</v>
      </c>
    </row>
    <row r="17" spans="1:5" ht="15" x14ac:dyDescent="0.25">
      <c r="A17" s="5" t="s">
        <v>17</v>
      </c>
      <c r="B17" s="6">
        <v>327926</v>
      </c>
      <c r="C17" s="6">
        <v>132721</v>
      </c>
      <c r="D17" s="6">
        <v>87974</v>
      </c>
      <c r="E17" s="6">
        <v>44747</v>
      </c>
    </row>
    <row r="18" spans="1:5" ht="15" x14ac:dyDescent="0.25">
      <c r="A18" s="5" t="s">
        <v>18</v>
      </c>
      <c r="B18" s="6">
        <v>5318887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2525638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41313</v>
      </c>
      <c r="C20" s="6">
        <v>5355</v>
      </c>
      <c r="D20" s="6" t="s">
        <v>8</v>
      </c>
      <c r="E20" s="6">
        <v>5355</v>
      </c>
    </row>
    <row r="21" spans="1:5" ht="15" x14ac:dyDescent="0.25">
      <c r="A21" s="5" t="s">
        <v>21</v>
      </c>
      <c r="B21" s="6">
        <v>454377</v>
      </c>
      <c r="C21" s="6">
        <v>180739</v>
      </c>
      <c r="D21" s="6">
        <v>30822</v>
      </c>
      <c r="E21" s="6">
        <v>149917</v>
      </c>
    </row>
    <row r="22" spans="1:5" ht="15" x14ac:dyDescent="0.25">
      <c r="A22" s="5" t="s">
        <v>22</v>
      </c>
      <c r="B22" s="6">
        <v>447043</v>
      </c>
      <c r="C22" s="6">
        <v>124832</v>
      </c>
      <c r="D22" s="6">
        <v>124832</v>
      </c>
      <c r="E22" s="6">
        <v>0</v>
      </c>
    </row>
    <row r="23" spans="1:5" ht="15" x14ac:dyDescent="0.25">
      <c r="A23" s="5" t="s">
        <v>23</v>
      </c>
      <c r="B23" s="6">
        <v>3349228</v>
      </c>
      <c r="C23" s="6">
        <v>967441</v>
      </c>
      <c r="D23" s="6">
        <v>869204</v>
      </c>
      <c r="E23" s="6">
        <v>98237</v>
      </c>
    </row>
    <row r="24" spans="1:5" ht="15" x14ac:dyDescent="0.25">
      <c r="A24" s="5" t="s">
        <v>24</v>
      </c>
      <c r="B24" s="6">
        <v>1988174</v>
      </c>
      <c r="C24" s="6">
        <v>569730</v>
      </c>
      <c r="D24" s="6">
        <v>569730</v>
      </c>
      <c r="E24" s="6">
        <v>0</v>
      </c>
    </row>
    <row r="25" spans="1:5" ht="15" x14ac:dyDescent="0.25">
      <c r="A25" s="5" t="s">
        <v>25</v>
      </c>
      <c r="B25" s="6">
        <v>767534</v>
      </c>
      <c r="C25" s="6">
        <v>251506</v>
      </c>
      <c r="D25" s="6">
        <v>191955</v>
      </c>
      <c r="E25" s="6">
        <v>59551</v>
      </c>
    </row>
    <row r="26" spans="1:5" ht="15" x14ac:dyDescent="0.25">
      <c r="A26" s="5" t="s">
        <v>26</v>
      </c>
      <c r="B26" s="6">
        <v>452934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1535353</v>
      </c>
      <c r="C27" s="6">
        <v>617287</v>
      </c>
      <c r="D27" s="6">
        <v>617287</v>
      </c>
      <c r="E27" s="6">
        <v>0</v>
      </c>
    </row>
    <row r="28" spans="1:5" ht="15" x14ac:dyDescent="0.25">
      <c r="A28" s="5" t="s">
        <v>28</v>
      </c>
      <c r="B28" s="6">
        <v>1988655</v>
      </c>
      <c r="C28" s="6">
        <v>744752</v>
      </c>
      <c r="D28" s="6">
        <v>744752</v>
      </c>
      <c r="E28" s="6">
        <v>0</v>
      </c>
    </row>
    <row r="29" spans="1:5" ht="15" x14ac:dyDescent="0.25">
      <c r="A29" s="5" t="s">
        <v>29</v>
      </c>
      <c r="B29" s="6">
        <v>382750</v>
      </c>
      <c r="C29" s="6">
        <v>103223</v>
      </c>
      <c r="D29" s="6">
        <v>81862</v>
      </c>
      <c r="E29" s="6">
        <v>21361</v>
      </c>
    </row>
    <row r="30" spans="1:5" ht="15" x14ac:dyDescent="0.25">
      <c r="A30" s="5" t="s">
        <v>30</v>
      </c>
      <c r="B30" s="6">
        <v>1548859</v>
      </c>
      <c r="C30" s="6">
        <v>446105</v>
      </c>
      <c r="D30" s="6">
        <v>446105</v>
      </c>
      <c r="E30" s="6">
        <v>0</v>
      </c>
    </row>
    <row r="31" spans="1:5" ht="15" x14ac:dyDescent="0.25">
      <c r="A31" s="5" t="s">
        <v>31</v>
      </c>
      <c r="B31" s="6">
        <v>2108064</v>
      </c>
      <c r="C31" s="6">
        <v>471245</v>
      </c>
      <c r="D31" s="6">
        <v>0</v>
      </c>
      <c r="E31" s="6">
        <v>471245</v>
      </c>
    </row>
    <row r="32" spans="1:5" ht="15" x14ac:dyDescent="0.25">
      <c r="A32" s="5" t="s">
        <v>32</v>
      </c>
      <c r="B32" s="6">
        <v>2986381</v>
      </c>
      <c r="C32" s="6">
        <v>1015084</v>
      </c>
      <c r="D32" s="6">
        <v>949709</v>
      </c>
      <c r="E32" s="6">
        <v>65375</v>
      </c>
    </row>
    <row r="33" spans="1:5" ht="15" x14ac:dyDescent="0.25">
      <c r="A33" s="5" t="s">
        <v>33</v>
      </c>
      <c r="B33" s="6">
        <v>1348611</v>
      </c>
      <c r="C33" s="6">
        <v>296011</v>
      </c>
      <c r="D33" s="6">
        <v>296011</v>
      </c>
      <c r="E33" s="6">
        <v>0</v>
      </c>
    </row>
    <row r="34" spans="1:5" ht="15" x14ac:dyDescent="0.25">
      <c r="A34" s="5" t="s">
        <v>34</v>
      </c>
      <c r="B34" s="6">
        <v>817070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1315237</v>
      </c>
      <c r="C35" s="6">
        <v>209810</v>
      </c>
      <c r="D35" s="6">
        <v>209810</v>
      </c>
      <c r="E35" s="6">
        <v>0</v>
      </c>
    </row>
    <row r="36" spans="1:5" ht="15" x14ac:dyDescent="0.25">
      <c r="A36" s="5" t="s">
        <v>36</v>
      </c>
      <c r="B36" s="6">
        <v>299274</v>
      </c>
      <c r="C36" s="6">
        <v>117174</v>
      </c>
      <c r="D36" s="6">
        <v>117174</v>
      </c>
      <c r="E36" s="6">
        <v>0</v>
      </c>
    </row>
    <row r="37" spans="1:5" ht="15" x14ac:dyDescent="0.25">
      <c r="A37" s="5" t="s">
        <v>37</v>
      </c>
      <c r="B37" s="6">
        <v>19550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374657</v>
      </c>
      <c r="C38" s="6">
        <v>71574</v>
      </c>
      <c r="D38" s="6">
        <v>69999</v>
      </c>
      <c r="E38" s="6">
        <v>1575</v>
      </c>
    </row>
    <row r="39" spans="1:5" ht="15" x14ac:dyDescent="0.25">
      <c r="A39" s="5" t="s">
        <v>39</v>
      </c>
      <c r="B39" s="6">
        <v>819749</v>
      </c>
      <c r="C39" s="6">
        <v>355119</v>
      </c>
      <c r="D39" s="6">
        <v>355119</v>
      </c>
      <c r="E39" s="6">
        <v>0</v>
      </c>
    </row>
    <row r="40" spans="1:5" ht="15" x14ac:dyDescent="0.25">
      <c r="A40" s="5" t="s">
        <v>40</v>
      </c>
      <c r="B40" s="6">
        <v>232297</v>
      </c>
      <c r="C40" s="6">
        <v>90597</v>
      </c>
      <c r="D40" s="6">
        <v>90128</v>
      </c>
      <c r="E40" s="6">
        <v>469</v>
      </c>
    </row>
    <row r="41" spans="1:5" ht="15" x14ac:dyDescent="0.25">
      <c r="A41" s="5" t="s">
        <v>41</v>
      </c>
      <c r="B41" s="6">
        <v>2027197</v>
      </c>
      <c r="C41" s="6">
        <v>742836</v>
      </c>
      <c r="D41" s="6">
        <v>742836</v>
      </c>
      <c r="E41" s="6">
        <v>0</v>
      </c>
    </row>
    <row r="42" spans="1:5" ht="15" x14ac:dyDescent="0.25">
      <c r="A42" s="5" t="s">
        <v>42</v>
      </c>
      <c r="B42" s="6">
        <v>980222</v>
      </c>
      <c r="C42" s="6">
        <v>295796</v>
      </c>
      <c r="D42" s="6">
        <v>295796</v>
      </c>
      <c r="E42" s="6">
        <v>0</v>
      </c>
    </row>
    <row r="43" spans="1:5" ht="15" x14ac:dyDescent="0.25">
      <c r="A43" s="5" t="s">
        <v>43</v>
      </c>
      <c r="B43" s="6">
        <v>7555521</v>
      </c>
      <c r="C43" s="6">
        <v>2504791</v>
      </c>
      <c r="D43" s="6">
        <v>430348</v>
      </c>
      <c r="E43" s="6">
        <v>2074443</v>
      </c>
    </row>
    <row r="44" spans="1:5" ht="15" x14ac:dyDescent="0.25">
      <c r="A44" s="5" t="s">
        <v>44</v>
      </c>
      <c r="B44" s="6">
        <v>2803515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126196</v>
      </c>
      <c r="C45" s="6">
        <v>33699</v>
      </c>
      <c r="D45" s="6">
        <v>32029</v>
      </c>
      <c r="E45" s="6">
        <v>1670</v>
      </c>
    </row>
    <row r="46" spans="1:5" ht="15" x14ac:dyDescent="0.25">
      <c r="A46" s="5" t="s">
        <v>46</v>
      </c>
      <c r="B46" s="6">
        <v>3467221</v>
      </c>
      <c r="C46" s="6">
        <v>830605</v>
      </c>
      <c r="D46" s="6">
        <v>830366</v>
      </c>
      <c r="E46" s="6">
        <v>239</v>
      </c>
    </row>
    <row r="47" spans="1:5" ht="15" x14ac:dyDescent="0.25">
      <c r="A47" s="5" t="s">
        <v>47</v>
      </c>
      <c r="B47" s="6">
        <v>1172282</v>
      </c>
      <c r="C47" s="6">
        <v>313463</v>
      </c>
      <c r="D47" s="6">
        <v>313463</v>
      </c>
      <c r="E47" s="6">
        <v>0</v>
      </c>
    </row>
    <row r="48" spans="1:5" ht="15" x14ac:dyDescent="0.25">
      <c r="A48" s="5" t="s">
        <v>48</v>
      </c>
      <c r="B48" s="6">
        <v>1270303</v>
      </c>
      <c r="C48" s="6">
        <v>697087</v>
      </c>
      <c r="D48" s="6">
        <v>588803</v>
      </c>
      <c r="E48" s="6">
        <v>108284</v>
      </c>
    </row>
    <row r="49" spans="1:5" ht="15" x14ac:dyDescent="0.25">
      <c r="A49" s="5" t="s">
        <v>49</v>
      </c>
      <c r="B49" s="6">
        <v>3542980</v>
      </c>
      <c r="C49" s="6">
        <v>1128679</v>
      </c>
      <c r="D49" s="6">
        <v>1065162</v>
      </c>
      <c r="E49" s="6">
        <v>63517</v>
      </c>
    </row>
    <row r="50" spans="1:5" ht="15" x14ac:dyDescent="0.25">
      <c r="A50" s="5" t="s">
        <v>50</v>
      </c>
      <c r="B50" s="6">
        <v>1466547</v>
      </c>
      <c r="C50" s="6">
        <v>651701</v>
      </c>
      <c r="D50" s="6" t="s">
        <v>8</v>
      </c>
      <c r="E50" s="6">
        <v>651701</v>
      </c>
    </row>
    <row r="51" spans="1:5" ht="15" x14ac:dyDescent="0.25">
      <c r="A51" s="5" t="s">
        <v>51</v>
      </c>
      <c r="B51" s="6">
        <v>349483</v>
      </c>
      <c r="C51" s="6">
        <v>97527</v>
      </c>
      <c r="D51" s="6">
        <v>97527</v>
      </c>
      <c r="E51" s="6">
        <v>0</v>
      </c>
    </row>
    <row r="52" spans="1:5" ht="15" x14ac:dyDescent="0.25">
      <c r="A52" s="5" t="s">
        <v>52</v>
      </c>
      <c r="B52" s="6">
        <v>1545825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132177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1821515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5862382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495083</v>
      </c>
      <c r="C56" s="6">
        <v>128480</v>
      </c>
      <c r="D56" s="6">
        <v>127521</v>
      </c>
      <c r="E56" s="6">
        <v>959</v>
      </c>
    </row>
    <row r="57" spans="1:5" ht="15" x14ac:dyDescent="0.25">
      <c r="A57" s="5" t="s">
        <v>57</v>
      </c>
      <c r="B57" s="6">
        <v>199005</v>
      </c>
      <c r="C57" s="6">
        <v>87002</v>
      </c>
      <c r="D57" s="6">
        <v>0</v>
      </c>
      <c r="E57" s="6">
        <v>87002</v>
      </c>
    </row>
    <row r="58" spans="1:5" ht="15" x14ac:dyDescent="0.25">
      <c r="A58" s="5" t="s">
        <v>58</v>
      </c>
      <c r="B58" s="6">
        <v>36979</v>
      </c>
      <c r="C58" s="6">
        <v>18093</v>
      </c>
      <c r="D58" s="6" t="s">
        <v>8</v>
      </c>
      <c r="E58" s="6">
        <v>18093</v>
      </c>
    </row>
    <row r="59" spans="1:5" ht="15" x14ac:dyDescent="0.25">
      <c r="A59" s="5" t="s">
        <v>59</v>
      </c>
      <c r="B59" s="6">
        <v>1866674</v>
      </c>
      <c r="C59" s="6">
        <v>671343</v>
      </c>
      <c r="D59" s="6">
        <v>671343</v>
      </c>
      <c r="E59" s="6">
        <v>0</v>
      </c>
    </row>
    <row r="60" spans="1:5" ht="15" x14ac:dyDescent="0.25">
      <c r="A60" s="5" t="s">
        <v>60</v>
      </c>
      <c r="B60" s="6">
        <v>1990842</v>
      </c>
      <c r="C60" s="6">
        <v>811785</v>
      </c>
      <c r="D60" s="6">
        <v>793964</v>
      </c>
      <c r="E60" s="6">
        <v>17821</v>
      </c>
    </row>
    <row r="61" spans="1:5" ht="15" x14ac:dyDescent="0.25">
      <c r="A61" s="5" t="s">
        <v>61</v>
      </c>
      <c r="B61" s="6">
        <v>643387</v>
      </c>
      <c r="C61" s="6">
        <v>234610</v>
      </c>
      <c r="D61" s="6">
        <v>234610</v>
      </c>
      <c r="E61" s="6">
        <v>0</v>
      </c>
    </row>
    <row r="62" spans="1:5" ht="15" x14ac:dyDescent="0.25">
      <c r="A62" s="5" t="s">
        <v>62</v>
      </c>
      <c r="B62" s="6">
        <v>1518278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83379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95111777</v>
      </c>
      <c r="C64" s="8">
        <f>SUM(C8:C63)</f>
        <v>23048691</v>
      </c>
      <c r="D64" s="8">
        <f>SUM(D8:D63)</f>
        <v>18447023</v>
      </c>
      <c r="E64" s="8">
        <f>SUM(E8:E63)</f>
        <v>4601668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1" spans="1:1" x14ac:dyDescent="0.25">
      <c r="A91" s="9" t="s">
        <v>166</v>
      </c>
    </row>
  </sheetData>
  <conditionalFormatting sqref="A8:E64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26, 2023 11:43 AM&amp;R&amp;"-,Regular"&amp;7Page : &amp;"-,Regular"&amp;7&amp;P&amp;"-,Regular"&amp;7 of &amp;"-,Regular"&amp;7&amp;N</oddFooter>
    <evenFooter>&amp;L&amp;"-,Regular"&amp;7Created On: Tuesday, December 26, 2023 11:43 AM&amp;R&amp;"-,Regular"&amp;7Page : &amp;"-,Regular"&amp;7&amp;P&amp;"-,Regular"&amp;7 of &amp;"-,Regular"&amp;7&amp;N</evenFooter>
    <firstFooter>&amp;L&amp;"-,Regular"&amp;7Created On: Tuesday, December 26, 2023 11:43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1709-EDF2-4546-BD98-B756BCD92F9F}">
  <sheetPr>
    <pageSetUpPr fitToPage="1"/>
  </sheetPr>
  <dimension ref="A1:E89"/>
  <sheetViews>
    <sheetView workbookViewId="0">
      <pane ySplit="7" topLeftCell="A66" activePane="bottomLeft" state="frozenSplit"/>
      <selection activeCell="A91" sqref="A91:XFD91"/>
      <selection pane="bottomLeft" activeCell="A91" sqref="A91:XFD91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169</v>
      </c>
      <c r="B2" s="2"/>
      <c r="C2" s="2"/>
      <c r="D2" s="2"/>
      <c r="E2" s="2"/>
    </row>
    <row r="3" spans="1:5" ht="15" x14ac:dyDescent="0.25">
      <c r="A3" s="2" t="s">
        <v>167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1295653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255100</v>
      </c>
      <c r="C9" s="6">
        <v>72120</v>
      </c>
      <c r="D9" s="6">
        <v>72119</v>
      </c>
      <c r="E9" s="6">
        <v>1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2380665</v>
      </c>
      <c r="C11" s="6">
        <v>699403</v>
      </c>
      <c r="D11" s="6">
        <v>190903</v>
      </c>
      <c r="E11" s="6">
        <v>508500</v>
      </c>
    </row>
    <row r="12" spans="1:5" ht="15" x14ac:dyDescent="0.25">
      <c r="A12" s="5" t="s">
        <v>12</v>
      </c>
      <c r="B12" s="6">
        <v>1045220</v>
      </c>
      <c r="C12" s="6">
        <v>342640</v>
      </c>
      <c r="D12" s="6">
        <v>327975</v>
      </c>
      <c r="E12" s="6">
        <v>14665</v>
      </c>
    </row>
    <row r="13" spans="1:5" ht="15" x14ac:dyDescent="0.25">
      <c r="A13" s="5" t="s">
        <v>13</v>
      </c>
      <c r="B13" s="6">
        <v>14742718</v>
      </c>
      <c r="C13" s="6">
        <v>4915907</v>
      </c>
      <c r="D13" s="6">
        <v>4885519</v>
      </c>
      <c r="E13" s="6">
        <v>30388</v>
      </c>
    </row>
    <row r="14" spans="1:5" ht="15" x14ac:dyDescent="0.25">
      <c r="A14" s="5" t="s">
        <v>14</v>
      </c>
      <c r="B14" s="6">
        <v>1641935</v>
      </c>
      <c r="C14" s="6">
        <v>599960</v>
      </c>
      <c r="D14" s="6">
        <v>592486</v>
      </c>
      <c r="E14" s="6">
        <v>7474</v>
      </c>
    </row>
    <row r="15" spans="1:5" ht="15" x14ac:dyDescent="0.25">
      <c r="A15" s="5" t="s">
        <v>15</v>
      </c>
      <c r="B15" s="6">
        <v>1142614</v>
      </c>
      <c r="C15" s="6">
        <v>362128</v>
      </c>
      <c r="D15" s="6">
        <v>331363</v>
      </c>
      <c r="E15" s="6">
        <v>30765</v>
      </c>
    </row>
    <row r="16" spans="1:5" ht="15" x14ac:dyDescent="0.25">
      <c r="A16" s="5" t="s">
        <v>16</v>
      </c>
      <c r="B16" s="6">
        <v>282429</v>
      </c>
      <c r="C16" s="6">
        <v>92620</v>
      </c>
      <c r="D16" s="6">
        <v>14510</v>
      </c>
      <c r="E16" s="6">
        <v>78110</v>
      </c>
    </row>
    <row r="17" spans="1:5" ht="15" x14ac:dyDescent="0.25">
      <c r="A17" s="5" t="s">
        <v>17</v>
      </c>
      <c r="B17" s="6">
        <v>329568</v>
      </c>
      <c r="C17" s="6">
        <v>133750</v>
      </c>
      <c r="D17" s="6">
        <v>88896</v>
      </c>
      <c r="E17" s="6">
        <v>44854</v>
      </c>
    </row>
    <row r="18" spans="1:5" ht="15" x14ac:dyDescent="0.25">
      <c r="A18" s="5" t="s">
        <v>18</v>
      </c>
      <c r="B18" s="6">
        <v>5376391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2518677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41724</v>
      </c>
      <c r="C20" s="6">
        <v>5459</v>
      </c>
      <c r="D20" s="6" t="s">
        <v>8</v>
      </c>
      <c r="E20" s="6">
        <v>5459</v>
      </c>
    </row>
    <row r="21" spans="1:5" ht="15" x14ac:dyDescent="0.25">
      <c r="A21" s="5" t="s">
        <v>21</v>
      </c>
      <c r="B21" s="6">
        <v>456690</v>
      </c>
      <c r="C21" s="6">
        <v>181999</v>
      </c>
      <c r="D21" s="6">
        <v>30886</v>
      </c>
      <c r="E21" s="6">
        <v>151113</v>
      </c>
    </row>
    <row r="22" spans="1:5" ht="15" x14ac:dyDescent="0.25">
      <c r="A22" s="5" t="s">
        <v>22</v>
      </c>
      <c r="B22" s="6">
        <v>448530</v>
      </c>
      <c r="C22" s="6">
        <v>125800</v>
      </c>
      <c r="D22" s="6">
        <v>125800</v>
      </c>
      <c r="E22" s="6">
        <v>0</v>
      </c>
    </row>
    <row r="23" spans="1:5" ht="15" x14ac:dyDescent="0.25">
      <c r="A23" s="5" t="s">
        <v>23</v>
      </c>
      <c r="B23" s="6">
        <v>3380655</v>
      </c>
      <c r="C23" s="6">
        <v>999147</v>
      </c>
      <c r="D23" s="6">
        <v>900070</v>
      </c>
      <c r="E23" s="6">
        <v>99077</v>
      </c>
    </row>
    <row r="24" spans="1:5" ht="15" x14ac:dyDescent="0.25">
      <c r="A24" s="5" t="s">
        <v>24</v>
      </c>
      <c r="B24" s="6">
        <v>1994206</v>
      </c>
      <c r="C24" s="6">
        <v>573152</v>
      </c>
      <c r="D24" s="6">
        <v>573152</v>
      </c>
      <c r="E24" s="6">
        <v>0</v>
      </c>
    </row>
    <row r="25" spans="1:5" ht="15" x14ac:dyDescent="0.25">
      <c r="A25" s="5" t="s">
        <v>25</v>
      </c>
      <c r="B25" s="6">
        <v>773773</v>
      </c>
      <c r="C25" s="6">
        <v>253569</v>
      </c>
      <c r="D25" s="6">
        <v>192471</v>
      </c>
      <c r="E25" s="6">
        <v>61098</v>
      </c>
    </row>
    <row r="26" spans="1:5" ht="15" x14ac:dyDescent="0.25">
      <c r="A26" s="5" t="s">
        <v>26</v>
      </c>
      <c r="B26" s="6">
        <v>455562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1548903</v>
      </c>
      <c r="C27" s="6">
        <v>623130</v>
      </c>
      <c r="D27" s="6">
        <v>623130</v>
      </c>
      <c r="E27" s="6">
        <v>0</v>
      </c>
    </row>
    <row r="28" spans="1:5" ht="15" x14ac:dyDescent="0.25">
      <c r="A28" s="5" t="s">
        <v>28</v>
      </c>
      <c r="B28" s="6">
        <v>1995919</v>
      </c>
      <c r="C28" s="6">
        <v>748383</v>
      </c>
      <c r="D28" s="6">
        <v>748383</v>
      </c>
      <c r="E28" s="6">
        <v>0</v>
      </c>
    </row>
    <row r="29" spans="1:5" ht="15" x14ac:dyDescent="0.25">
      <c r="A29" s="5" t="s">
        <v>29</v>
      </c>
      <c r="B29" s="6">
        <v>385134</v>
      </c>
      <c r="C29" s="6">
        <v>104260</v>
      </c>
      <c r="D29" s="6">
        <v>82806</v>
      </c>
      <c r="E29" s="6">
        <v>21454</v>
      </c>
    </row>
    <row r="30" spans="1:5" ht="15" x14ac:dyDescent="0.25">
      <c r="A30" s="5" t="s">
        <v>30</v>
      </c>
      <c r="B30" s="6">
        <v>1558811</v>
      </c>
      <c r="C30" s="6">
        <v>449359</v>
      </c>
      <c r="D30" s="6">
        <v>449359</v>
      </c>
      <c r="E30" s="6">
        <v>0</v>
      </c>
    </row>
    <row r="31" spans="1:5" ht="15" x14ac:dyDescent="0.25">
      <c r="A31" s="5" t="s">
        <v>31</v>
      </c>
      <c r="B31" s="6">
        <v>2128339</v>
      </c>
      <c r="C31" s="6">
        <v>474350</v>
      </c>
      <c r="D31" s="6">
        <v>0</v>
      </c>
      <c r="E31" s="6">
        <v>474350</v>
      </c>
    </row>
    <row r="32" spans="1:5" ht="15" x14ac:dyDescent="0.25">
      <c r="A32" s="5" t="s">
        <v>32</v>
      </c>
      <c r="B32" s="6">
        <v>3001409</v>
      </c>
      <c r="C32" s="6">
        <v>1022391</v>
      </c>
      <c r="D32" s="6">
        <v>956177</v>
      </c>
      <c r="E32" s="6">
        <v>66214</v>
      </c>
    </row>
    <row r="33" spans="1:5" ht="15" x14ac:dyDescent="0.25">
      <c r="A33" s="5" t="s">
        <v>33</v>
      </c>
      <c r="B33" s="6">
        <v>1353995</v>
      </c>
      <c r="C33" s="6">
        <v>298299</v>
      </c>
      <c r="D33" s="6">
        <v>298299</v>
      </c>
      <c r="E33" s="6">
        <v>0</v>
      </c>
    </row>
    <row r="34" spans="1:5" ht="15" x14ac:dyDescent="0.25">
      <c r="A34" s="5" t="s">
        <v>34</v>
      </c>
      <c r="B34" s="6">
        <v>821322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1347007</v>
      </c>
      <c r="C35" s="6">
        <v>240649</v>
      </c>
      <c r="D35" s="6">
        <v>240649</v>
      </c>
      <c r="E35" s="6">
        <v>0</v>
      </c>
    </row>
    <row r="36" spans="1:5" ht="15" x14ac:dyDescent="0.25">
      <c r="A36" s="5" t="s">
        <v>36</v>
      </c>
      <c r="B36" s="6">
        <v>300766</v>
      </c>
      <c r="C36" s="6">
        <v>117803</v>
      </c>
      <c r="D36" s="6">
        <v>117803</v>
      </c>
      <c r="E36" s="6">
        <v>0</v>
      </c>
    </row>
    <row r="37" spans="1:5" ht="15" x14ac:dyDescent="0.25">
      <c r="A37" s="5" t="s">
        <v>37</v>
      </c>
      <c r="B37" s="6">
        <v>21769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378254</v>
      </c>
      <c r="C38" s="6">
        <v>73114</v>
      </c>
      <c r="D38" s="6">
        <v>71496</v>
      </c>
      <c r="E38" s="6">
        <v>1618</v>
      </c>
    </row>
    <row r="39" spans="1:5" ht="15" x14ac:dyDescent="0.25">
      <c r="A39" s="5" t="s">
        <v>39</v>
      </c>
      <c r="B39" s="6">
        <v>825424</v>
      </c>
      <c r="C39" s="6">
        <v>359701</v>
      </c>
      <c r="D39" s="6">
        <v>359701</v>
      </c>
      <c r="E39" s="6">
        <v>0</v>
      </c>
    </row>
    <row r="40" spans="1:5" ht="15" x14ac:dyDescent="0.25">
      <c r="A40" s="5" t="s">
        <v>40</v>
      </c>
      <c r="B40" s="6">
        <v>232827</v>
      </c>
      <c r="C40" s="6">
        <v>91283</v>
      </c>
      <c r="D40" s="6">
        <v>90818</v>
      </c>
      <c r="E40" s="6">
        <v>465</v>
      </c>
    </row>
    <row r="41" spans="1:5" ht="15" x14ac:dyDescent="0.25">
      <c r="A41" s="5" t="s">
        <v>41</v>
      </c>
      <c r="B41" s="6">
        <v>2037577</v>
      </c>
      <c r="C41" s="6">
        <v>746771</v>
      </c>
      <c r="D41" s="6">
        <v>746771</v>
      </c>
      <c r="E41" s="6">
        <v>0</v>
      </c>
    </row>
    <row r="42" spans="1:5" ht="15" x14ac:dyDescent="0.25">
      <c r="A42" s="5" t="s">
        <v>42</v>
      </c>
      <c r="B42" s="6">
        <v>983002</v>
      </c>
      <c r="C42" s="6">
        <v>296146</v>
      </c>
      <c r="D42" s="6">
        <v>296146</v>
      </c>
      <c r="E42" s="6">
        <v>0</v>
      </c>
    </row>
    <row r="43" spans="1:5" ht="15" x14ac:dyDescent="0.25">
      <c r="A43" s="5" t="s">
        <v>43</v>
      </c>
      <c r="B43" s="6">
        <v>7576398</v>
      </c>
      <c r="C43" s="6">
        <v>2513672</v>
      </c>
      <c r="D43" s="6">
        <v>431574</v>
      </c>
      <c r="E43" s="6">
        <v>2082098</v>
      </c>
    </row>
    <row r="44" spans="1:5" ht="15" x14ac:dyDescent="0.25">
      <c r="A44" s="5" t="s">
        <v>44</v>
      </c>
      <c r="B44" s="6">
        <v>2826807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127732</v>
      </c>
      <c r="C45" s="6">
        <v>34445</v>
      </c>
      <c r="D45" s="6">
        <v>32735</v>
      </c>
      <c r="E45" s="6">
        <v>1710</v>
      </c>
    </row>
    <row r="46" spans="1:5" ht="15" x14ac:dyDescent="0.25">
      <c r="A46" s="5" t="s">
        <v>46</v>
      </c>
      <c r="B46" s="6">
        <v>3485442</v>
      </c>
      <c r="C46" s="6">
        <v>837834</v>
      </c>
      <c r="D46" s="6">
        <v>837603</v>
      </c>
      <c r="E46" s="6">
        <v>231</v>
      </c>
    </row>
    <row r="47" spans="1:5" ht="15" x14ac:dyDescent="0.25">
      <c r="A47" s="5" t="s">
        <v>47</v>
      </c>
      <c r="B47" s="6">
        <v>1191614</v>
      </c>
      <c r="C47" s="6">
        <v>328889</v>
      </c>
      <c r="D47" s="6">
        <v>328889</v>
      </c>
      <c r="E47" s="6">
        <v>0</v>
      </c>
    </row>
    <row r="48" spans="1:5" ht="15" x14ac:dyDescent="0.25">
      <c r="A48" s="5" t="s">
        <v>48</v>
      </c>
      <c r="B48" s="6">
        <v>1276351</v>
      </c>
      <c r="C48" s="6">
        <v>702839</v>
      </c>
      <c r="D48" s="6">
        <v>593963</v>
      </c>
      <c r="E48" s="6">
        <v>108876</v>
      </c>
    </row>
    <row r="49" spans="1:5" ht="15" x14ac:dyDescent="0.25">
      <c r="A49" s="5" t="s">
        <v>49</v>
      </c>
      <c r="B49" s="6">
        <v>3565870</v>
      </c>
      <c r="C49" s="6">
        <v>1137222</v>
      </c>
      <c r="D49" s="6">
        <v>1072863</v>
      </c>
      <c r="E49" s="6">
        <v>64359</v>
      </c>
    </row>
    <row r="50" spans="1:5" ht="15" x14ac:dyDescent="0.25">
      <c r="A50" s="5" t="s">
        <v>50</v>
      </c>
      <c r="B50" s="6">
        <v>1473567</v>
      </c>
      <c r="C50" s="6">
        <v>655549</v>
      </c>
      <c r="D50" s="6" t="s">
        <v>8</v>
      </c>
      <c r="E50" s="6">
        <v>655549</v>
      </c>
    </row>
    <row r="51" spans="1:5" ht="15" x14ac:dyDescent="0.25">
      <c r="A51" s="5" t="s">
        <v>51</v>
      </c>
      <c r="B51" s="6">
        <v>336201</v>
      </c>
      <c r="C51" s="6">
        <v>90339</v>
      </c>
      <c r="D51" s="6">
        <v>90339</v>
      </c>
      <c r="E51" s="6">
        <v>0</v>
      </c>
    </row>
    <row r="52" spans="1:5" ht="15" x14ac:dyDescent="0.25">
      <c r="A52" s="5" t="s">
        <v>52</v>
      </c>
      <c r="B52" s="6">
        <v>1555678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133133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1830480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5910630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500413</v>
      </c>
      <c r="C56" s="6">
        <v>130991</v>
      </c>
      <c r="D56" s="6">
        <v>130042</v>
      </c>
      <c r="E56" s="6">
        <v>949</v>
      </c>
    </row>
    <row r="57" spans="1:5" ht="15" x14ac:dyDescent="0.25">
      <c r="A57" s="5" t="s">
        <v>57</v>
      </c>
      <c r="B57" s="6">
        <v>199826</v>
      </c>
      <c r="C57" s="6">
        <v>87569</v>
      </c>
      <c r="D57" s="6">
        <v>0</v>
      </c>
      <c r="E57" s="6">
        <v>87569</v>
      </c>
    </row>
    <row r="58" spans="1:5" ht="15" x14ac:dyDescent="0.25">
      <c r="A58" s="5" t="s">
        <v>58</v>
      </c>
      <c r="B58" s="6">
        <v>37108</v>
      </c>
      <c r="C58" s="6">
        <v>18211</v>
      </c>
      <c r="D58" s="6" t="s">
        <v>8</v>
      </c>
      <c r="E58" s="6">
        <v>18211</v>
      </c>
    </row>
    <row r="59" spans="1:5" ht="15" x14ac:dyDescent="0.25">
      <c r="A59" s="5" t="s">
        <v>59</v>
      </c>
      <c r="B59" s="6">
        <v>1879937</v>
      </c>
      <c r="C59" s="6">
        <v>678020</v>
      </c>
      <c r="D59" s="6">
        <v>678020</v>
      </c>
      <c r="E59" s="6">
        <v>0</v>
      </c>
    </row>
    <row r="60" spans="1:5" ht="15" x14ac:dyDescent="0.25">
      <c r="A60" s="5" t="s">
        <v>60</v>
      </c>
      <c r="B60" s="6">
        <v>2140483</v>
      </c>
      <c r="C60" s="6">
        <v>818386</v>
      </c>
      <c r="D60" s="6">
        <v>799987</v>
      </c>
      <c r="E60" s="6">
        <v>18399</v>
      </c>
    </row>
    <row r="61" spans="1:5" ht="15" x14ac:dyDescent="0.25">
      <c r="A61" s="5" t="s">
        <v>61</v>
      </c>
      <c r="B61" s="6">
        <v>650538</v>
      </c>
      <c r="C61" s="6">
        <v>237296</v>
      </c>
      <c r="D61" s="6">
        <v>237296</v>
      </c>
      <c r="E61" s="6">
        <v>0</v>
      </c>
    </row>
    <row r="62" spans="1:5" ht="15" x14ac:dyDescent="0.25">
      <c r="A62" s="5" t="s">
        <v>62</v>
      </c>
      <c r="B62" s="6">
        <v>1528216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83942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95824368</v>
      </c>
      <c r="C64" s="8">
        <f>SUM(C8:C63)</f>
        <v>23274555</v>
      </c>
      <c r="D64" s="8">
        <f>SUM(D8:D63)</f>
        <v>18640999</v>
      </c>
      <c r="E64" s="8">
        <f>SUM(E8:E63)</f>
        <v>4633556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26, 2023 11:43 AM&amp;R&amp;"-,Regular"&amp;7Page : &amp;"-,Regular"&amp;7&amp;P&amp;"-,Regular"&amp;7 of &amp;"-,Regular"&amp;7&amp;N</oddFooter>
    <evenFooter>&amp;L&amp;"-,Regular"&amp;7Created On: Tuesday, December 26, 2023 11:43 AM&amp;R&amp;"-,Regular"&amp;7Page : &amp;"-,Regular"&amp;7&amp;P&amp;"-,Regular"&amp;7 of &amp;"-,Regular"&amp;7&amp;N</evenFooter>
    <firstFooter>&amp;L&amp;"-,Regular"&amp;7Created On: Tuesday, December 26, 2023 11:43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11DF-E286-4BAB-AF29-F836E0CC10CC}">
  <sheetPr>
    <pageSetUpPr fitToPage="1"/>
  </sheetPr>
  <dimension ref="A1:E89"/>
  <sheetViews>
    <sheetView workbookViewId="0">
      <pane ySplit="7" topLeftCell="A8" activePane="bottomLeft" state="frozenSplit"/>
      <selection activeCell="A91" sqref="A91:XFD91"/>
      <selection pane="bottomLeft" activeCell="A91" sqref="A91:XFD91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170</v>
      </c>
      <c r="B2" s="2"/>
      <c r="C2" s="2"/>
      <c r="D2" s="2"/>
      <c r="E2" s="2"/>
    </row>
    <row r="3" spans="1:5" ht="15" x14ac:dyDescent="0.25">
      <c r="A3" s="2" t="s">
        <v>167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1303099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255166</v>
      </c>
      <c r="C9" s="6">
        <v>72466</v>
      </c>
      <c r="D9" s="6">
        <v>72464</v>
      </c>
      <c r="E9" s="6">
        <v>2</v>
      </c>
    </row>
    <row r="10" spans="1:5" ht="15" x14ac:dyDescent="0.25">
      <c r="A10" s="5" t="s">
        <v>10</v>
      </c>
      <c r="B10" s="6">
        <v>31434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2398314</v>
      </c>
      <c r="C11" s="6">
        <v>707888</v>
      </c>
      <c r="D11" s="6">
        <v>191290</v>
      </c>
      <c r="E11" s="6">
        <v>516598</v>
      </c>
    </row>
    <row r="12" spans="1:5" ht="15" x14ac:dyDescent="0.25">
      <c r="A12" s="5" t="s">
        <v>12</v>
      </c>
      <c r="B12" s="6">
        <v>1049515</v>
      </c>
      <c r="C12" s="6">
        <v>342505</v>
      </c>
      <c r="D12" s="6">
        <v>326906</v>
      </c>
      <c r="E12" s="6">
        <v>15599</v>
      </c>
    </row>
    <row r="13" spans="1:5" ht="15" x14ac:dyDescent="0.25">
      <c r="A13" s="5" t="s">
        <v>13</v>
      </c>
      <c r="B13" s="6">
        <v>14754618</v>
      </c>
      <c r="C13" s="6">
        <v>4941456</v>
      </c>
      <c r="D13" s="6">
        <v>4910970</v>
      </c>
      <c r="E13" s="6">
        <v>30486</v>
      </c>
    </row>
    <row r="14" spans="1:5" ht="15" x14ac:dyDescent="0.25">
      <c r="A14" s="5" t="s">
        <v>14</v>
      </c>
      <c r="B14" s="6">
        <v>1650899</v>
      </c>
      <c r="C14" s="6">
        <v>602339</v>
      </c>
      <c r="D14" s="6">
        <v>594987</v>
      </c>
      <c r="E14" s="6">
        <v>7352</v>
      </c>
    </row>
    <row r="15" spans="1:5" ht="15" x14ac:dyDescent="0.25">
      <c r="A15" s="5" t="s">
        <v>15</v>
      </c>
      <c r="B15" s="6">
        <v>1147254</v>
      </c>
      <c r="C15" s="6">
        <v>363703</v>
      </c>
      <c r="D15" s="6">
        <v>332700</v>
      </c>
      <c r="E15" s="6">
        <v>31003</v>
      </c>
    </row>
    <row r="16" spans="1:5" ht="15" x14ac:dyDescent="0.25">
      <c r="A16" s="5" t="s">
        <v>16</v>
      </c>
      <c r="B16" s="6">
        <v>284439</v>
      </c>
      <c r="C16" s="6">
        <v>93391</v>
      </c>
      <c r="D16" s="6">
        <v>14685</v>
      </c>
      <c r="E16" s="6">
        <v>78706</v>
      </c>
    </row>
    <row r="17" spans="1:5" ht="15" x14ac:dyDescent="0.25">
      <c r="A17" s="5" t="s">
        <v>17</v>
      </c>
      <c r="B17" s="6">
        <v>331216</v>
      </c>
      <c r="C17" s="6">
        <v>134761</v>
      </c>
      <c r="D17" s="6">
        <v>89645</v>
      </c>
      <c r="E17" s="6">
        <v>45116</v>
      </c>
    </row>
    <row r="18" spans="1:5" ht="15" x14ac:dyDescent="0.25">
      <c r="A18" s="5" t="s">
        <v>18</v>
      </c>
      <c r="B18" s="6">
        <v>5417062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2521161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41809</v>
      </c>
      <c r="C20" s="6">
        <v>5488</v>
      </c>
      <c r="D20" s="6" t="s">
        <v>8</v>
      </c>
      <c r="E20" s="6">
        <v>5488</v>
      </c>
    </row>
    <row r="21" spans="1:5" ht="15" x14ac:dyDescent="0.25">
      <c r="A21" s="5" t="s">
        <v>21</v>
      </c>
      <c r="B21" s="6">
        <v>459018</v>
      </c>
      <c r="C21" s="6">
        <v>183625</v>
      </c>
      <c r="D21" s="6">
        <v>31537</v>
      </c>
      <c r="E21" s="6">
        <v>152088</v>
      </c>
    </row>
    <row r="22" spans="1:5" ht="15" x14ac:dyDescent="0.25">
      <c r="A22" s="5" t="s">
        <v>22</v>
      </c>
      <c r="B22" s="6">
        <v>449626</v>
      </c>
      <c r="C22" s="6">
        <v>126920</v>
      </c>
      <c r="D22" s="6">
        <v>126920</v>
      </c>
      <c r="E22" s="6">
        <v>0</v>
      </c>
    </row>
    <row r="23" spans="1:5" ht="15" x14ac:dyDescent="0.25">
      <c r="A23" s="5" t="s">
        <v>23</v>
      </c>
      <c r="B23" s="6">
        <v>3396431</v>
      </c>
      <c r="C23" s="6">
        <v>1005211</v>
      </c>
      <c r="D23" s="6">
        <v>906411</v>
      </c>
      <c r="E23" s="6">
        <v>98800</v>
      </c>
    </row>
    <row r="24" spans="1:5" ht="15" x14ac:dyDescent="0.25">
      <c r="A24" s="5" t="s">
        <v>24</v>
      </c>
      <c r="B24" s="6">
        <v>1991125</v>
      </c>
      <c r="C24" s="6">
        <v>572082</v>
      </c>
      <c r="D24" s="6">
        <v>572082</v>
      </c>
      <c r="E24" s="6">
        <v>0</v>
      </c>
    </row>
    <row r="25" spans="1:5" ht="15" x14ac:dyDescent="0.25">
      <c r="A25" s="5" t="s">
        <v>25</v>
      </c>
      <c r="B25" s="6">
        <v>777660</v>
      </c>
      <c r="C25" s="6">
        <v>254813</v>
      </c>
      <c r="D25" s="6">
        <v>192323</v>
      </c>
      <c r="E25" s="6">
        <v>62490</v>
      </c>
    </row>
    <row r="26" spans="1:5" ht="15" x14ac:dyDescent="0.25">
      <c r="A26" s="5" t="s">
        <v>26</v>
      </c>
      <c r="B26" s="6">
        <v>458679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1555452</v>
      </c>
      <c r="C27" s="6">
        <v>627546</v>
      </c>
      <c r="D27" s="6">
        <v>627546</v>
      </c>
      <c r="E27" s="6">
        <v>0</v>
      </c>
    </row>
    <row r="28" spans="1:5" ht="15" x14ac:dyDescent="0.25">
      <c r="A28" s="5" t="s">
        <v>28</v>
      </c>
      <c r="B28" s="6">
        <v>1998867</v>
      </c>
      <c r="C28" s="6">
        <v>750379</v>
      </c>
      <c r="D28" s="6">
        <v>750379</v>
      </c>
      <c r="E28" s="6">
        <v>0</v>
      </c>
    </row>
    <row r="29" spans="1:5" ht="15" x14ac:dyDescent="0.25">
      <c r="A29" s="5" t="s">
        <v>29</v>
      </c>
      <c r="B29" s="6">
        <v>387929</v>
      </c>
      <c r="C29" s="6">
        <v>105361</v>
      </c>
      <c r="D29" s="6">
        <v>83831</v>
      </c>
      <c r="E29" s="6">
        <v>21530</v>
      </c>
    </row>
    <row r="30" spans="1:5" ht="15" x14ac:dyDescent="0.25">
      <c r="A30" s="5" t="s">
        <v>30</v>
      </c>
      <c r="B30" s="6">
        <v>1565297</v>
      </c>
      <c r="C30" s="6">
        <v>451214</v>
      </c>
      <c r="D30" s="6">
        <v>451214</v>
      </c>
      <c r="E30" s="6">
        <v>0</v>
      </c>
    </row>
    <row r="31" spans="1:5" ht="15" x14ac:dyDescent="0.25">
      <c r="A31" s="5" t="s">
        <v>31</v>
      </c>
      <c r="B31" s="6">
        <v>2140909</v>
      </c>
      <c r="C31" s="6">
        <v>476916</v>
      </c>
      <c r="D31" s="6">
        <v>0</v>
      </c>
      <c r="E31" s="6">
        <v>476916</v>
      </c>
    </row>
    <row r="32" spans="1:5" ht="15" x14ac:dyDescent="0.25">
      <c r="A32" s="5" t="s">
        <v>32</v>
      </c>
      <c r="B32" s="6">
        <v>3015637</v>
      </c>
      <c r="C32" s="6">
        <v>1028839</v>
      </c>
      <c r="D32" s="6">
        <v>961898</v>
      </c>
      <c r="E32" s="6">
        <v>66941</v>
      </c>
    </row>
    <row r="33" spans="1:5" ht="15" x14ac:dyDescent="0.25">
      <c r="A33" s="5" t="s">
        <v>33</v>
      </c>
      <c r="B33" s="6">
        <v>1354780</v>
      </c>
      <c r="C33" s="6">
        <v>299797</v>
      </c>
      <c r="D33" s="6">
        <v>299797</v>
      </c>
      <c r="E33" s="6">
        <v>0</v>
      </c>
    </row>
    <row r="34" spans="1:5" ht="15" x14ac:dyDescent="0.25">
      <c r="A34" s="5" t="s">
        <v>34</v>
      </c>
      <c r="B34" s="6">
        <v>825970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1374840</v>
      </c>
      <c r="C35" s="6">
        <v>260132</v>
      </c>
      <c r="D35" s="6">
        <v>260132</v>
      </c>
      <c r="E35" s="6">
        <v>0</v>
      </c>
    </row>
    <row r="36" spans="1:5" ht="15" x14ac:dyDescent="0.25">
      <c r="A36" s="5" t="s">
        <v>36</v>
      </c>
      <c r="B36" s="6">
        <v>301946</v>
      </c>
      <c r="C36" s="6">
        <v>118253</v>
      </c>
      <c r="D36" s="6">
        <v>118253</v>
      </c>
      <c r="E36" s="6">
        <v>0</v>
      </c>
    </row>
    <row r="37" spans="1:5" ht="15" x14ac:dyDescent="0.25">
      <c r="A37" s="5" t="s">
        <v>37</v>
      </c>
      <c r="B37" s="6">
        <v>23214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381040</v>
      </c>
      <c r="C38" s="6">
        <v>74540</v>
      </c>
      <c r="D38" s="6">
        <v>72872</v>
      </c>
      <c r="E38" s="6">
        <v>1668</v>
      </c>
    </row>
    <row r="39" spans="1:5" ht="15" x14ac:dyDescent="0.25">
      <c r="A39" s="5" t="s">
        <v>39</v>
      </c>
      <c r="B39" s="6">
        <v>831747</v>
      </c>
      <c r="C39" s="6">
        <v>362226</v>
      </c>
      <c r="D39" s="6">
        <v>362226</v>
      </c>
      <c r="E39" s="6">
        <v>0</v>
      </c>
    </row>
    <row r="40" spans="1:5" ht="15" x14ac:dyDescent="0.25">
      <c r="A40" s="5" t="s">
        <v>40</v>
      </c>
      <c r="B40" s="6">
        <v>233320</v>
      </c>
      <c r="C40" s="6">
        <v>91634</v>
      </c>
      <c r="D40" s="6">
        <v>91146</v>
      </c>
      <c r="E40" s="6">
        <v>488</v>
      </c>
    </row>
    <row r="41" spans="1:5" ht="15" x14ac:dyDescent="0.25">
      <c r="A41" s="5" t="s">
        <v>41</v>
      </c>
      <c r="B41" s="6">
        <v>2046507</v>
      </c>
      <c r="C41" s="6">
        <v>746247</v>
      </c>
      <c r="D41" s="6">
        <v>746247</v>
      </c>
      <c r="E41" s="6">
        <v>0</v>
      </c>
    </row>
    <row r="42" spans="1:5" ht="15" x14ac:dyDescent="0.25">
      <c r="A42" s="5" t="s">
        <v>42</v>
      </c>
      <c r="B42" s="6">
        <v>982910</v>
      </c>
      <c r="C42" s="6">
        <v>296146</v>
      </c>
      <c r="D42" s="6">
        <v>296146</v>
      </c>
      <c r="E42" s="6">
        <v>0</v>
      </c>
    </row>
    <row r="43" spans="1:5" ht="15" x14ac:dyDescent="0.25">
      <c r="A43" s="5" t="s">
        <v>43</v>
      </c>
      <c r="B43" s="6">
        <v>7611122</v>
      </c>
      <c r="C43" s="6">
        <v>2521122</v>
      </c>
      <c r="D43" s="6">
        <v>432535</v>
      </c>
      <c r="E43" s="6">
        <v>2088587</v>
      </c>
    </row>
    <row r="44" spans="1:5" ht="15" x14ac:dyDescent="0.25">
      <c r="A44" s="5" t="s">
        <v>44</v>
      </c>
      <c r="B44" s="6">
        <v>2845282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128690</v>
      </c>
      <c r="C45" s="6">
        <v>34794</v>
      </c>
      <c r="D45" s="6">
        <v>33108</v>
      </c>
      <c r="E45" s="6">
        <v>1686</v>
      </c>
    </row>
    <row r="46" spans="1:5" ht="15" x14ac:dyDescent="0.25">
      <c r="A46" s="5" t="s">
        <v>46</v>
      </c>
      <c r="B46" s="6">
        <v>3500997</v>
      </c>
      <c r="C46" s="6">
        <v>845257</v>
      </c>
      <c r="D46" s="6">
        <v>845024</v>
      </c>
      <c r="E46" s="6">
        <v>233</v>
      </c>
    </row>
    <row r="47" spans="1:5" ht="15" x14ac:dyDescent="0.25">
      <c r="A47" s="5" t="s">
        <v>47</v>
      </c>
      <c r="B47" s="6">
        <v>1191265</v>
      </c>
      <c r="C47" s="6">
        <v>334632</v>
      </c>
      <c r="D47" s="6">
        <v>334632</v>
      </c>
      <c r="E47" s="6">
        <v>0</v>
      </c>
    </row>
    <row r="48" spans="1:5" ht="15" x14ac:dyDescent="0.25">
      <c r="A48" s="5" t="s">
        <v>48</v>
      </c>
      <c r="B48" s="6">
        <v>1279065</v>
      </c>
      <c r="C48" s="6">
        <v>706950</v>
      </c>
      <c r="D48" s="6">
        <v>598132</v>
      </c>
      <c r="E48" s="6">
        <v>108818</v>
      </c>
    </row>
    <row r="49" spans="1:5" ht="15" x14ac:dyDescent="0.25">
      <c r="A49" s="5" t="s">
        <v>49</v>
      </c>
      <c r="B49" s="6">
        <v>3581542</v>
      </c>
      <c r="C49" s="6">
        <v>1143160</v>
      </c>
      <c r="D49" s="6">
        <v>1078203</v>
      </c>
      <c r="E49" s="6">
        <v>64957</v>
      </c>
    </row>
    <row r="50" spans="1:5" ht="15" x14ac:dyDescent="0.25">
      <c r="A50" s="5" t="s">
        <v>50</v>
      </c>
      <c r="B50" s="6">
        <v>1481225</v>
      </c>
      <c r="C50" s="6">
        <v>667162</v>
      </c>
      <c r="D50" s="6" t="s">
        <v>8</v>
      </c>
      <c r="E50" s="6">
        <v>667162</v>
      </c>
    </row>
    <row r="51" spans="1:5" ht="15" x14ac:dyDescent="0.25">
      <c r="A51" s="5" t="s">
        <v>51</v>
      </c>
      <c r="B51" s="6">
        <v>351190</v>
      </c>
      <c r="C51" s="6">
        <v>98299</v>
      </c>
      <c r="D51" s="6">
        <v>98299</v>
      </c>
      <c r="E51" s="6">
        <v>0</v>
      </c>
    </row>
    <row r="52" spans="1:5" ht="15" x14ac:dyDescent="0.25">
      <c r="A52" s="5" t="s">
        <v>52</v>
      </c>
      <c r="B52" s="6">
        <v>1563608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133923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1835559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5953197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503955</v>
      </c>
      <c r="C56" s="6">
        <v>133393</v>
      </c>
      <c r="D56" s="6">
        <v>132439</v>
      </c>
      <c r="E56" s="6">
        <v>954</v>
      </c>
    </row>
    <row r="57" spans="1:5" ht="15" x14ac:dyDescent="0.25">
      <c r="A57" s="5" t="s">
        <v>57</v>
      </c>
      <c r="B57" s="6">
        <v>200490</v>
      </c>
      <c r="C57" s="6">
        <v>87987</v>
      </c>
      <c r="D57" s="6">
        <v>0</v>
      </c>
      <c r="E57" s="6">
        <v>87987</v>
      </c>
    </row>
    <row r="58" spans="1:5" ht="15" x14ac:dyDescent="0.25">
      <c r="A58" s="5" t="s">
        <v>58</v>
      </c>
      <c r="B58" s="6">
        <v>37209</v>
      </c>
      <c r="C58" s="6">
        <v>18315</v>
      </c>
      <c r="D58" s="6" t="s">
        <v>8</v>
      </c>
      <c r="E58" s="6">
        <v>18315</v>
      </c>
    </row>
    <row r="59" spans="1:5" ht="15" x14ac:dyDescent="0.25">
      <c r="A59" s="5" t="s">
        <v>59</v>
      </c>
      <c r="B59" s="6">
        <v>1890570</v>
      </c>
      <c r="C59" s="6">
        <v>685404</v>
      </c>
      <c r="D59" s="6">
        <v>685404</v>
      </c>
      <c r="E59" s="6">
        <v>0</v>
      </c>
    </row>
    <row r="60" spans="1:5" ht="15" x14ac:dyDescent="0.25">
      <c r="A60" s="5" t="s">
        <v>60</v>
      </c>
      <c r="B60" s="6">
        <v>2143903</v>
      </c>
      <c r="C60" s="6">
        <v>822263</v>
      </c>
      <c r="D60" s="6">
        <v>803639</v>
      </c>
      <c r="E60" s="6">
        <v>18624</v>
      </c>
    </row>
    <row r="61" spans="1:5" ht="15" x14ac:dyDescent="0.25">
      <c r="A61" s="5" t="s">
        <v>61</v>
      </c>
      <c r="B61" s="6">
        <v>652102</v>
      </c>
      <c r="C61" s="6">
        <v>239001</v>
      </c>
      <c r="D61" s="6">
        <v>239001</v>
      </c>
      <c r="E61" s="6">
        <v>0</v>
      </c>
    </row>
    <row r="62" spans="1:5" ht="15" x14ac:dyDescent="0.25">
      <c r="A62" s="5" t="s">
        <v>62</v>
      </c>
      <c r="B62" s="6">
        <v>1535052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83667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96242503</v>
      </c>
      <c r="C64" s="8">
        <f>SUM(C8:C63)</f>
        <v>23433617</v>
      </c>
      <c r="D64" s="8">
        <f>SUM(D8:D63)</f>
        <v>18765023</v>
      </c>
      <c r="E64" s="8">
        <f>SUM(E8:E63)</f>
        <v>4668594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December 26, 2023 11:43 AM&amp;R&amp;"-,Regular"&amp;7Page : &amp;"-,Regular"&amp;7&amp;P&amp;"-,Regular"&amp;7 of &amp;"-,Regular"&amp;7&amp;N</oddFooter>
    <evenFooter>&amp;L&amp;"-,Regular"&amp;7Created On: Tuesday, December 26, 2023 11:43 AM&amp;R&amp;"-,Regular"&amp;7Page : &amp;"-,Regular"&amp;7&amp;P&amp;"-,Regular"&amp;7 of &amp;"-,Regular"&amp;7&amp;N</evenFooter>
    <firstFooter>&amp;L&amp;"-,Regular"&amp;7Created On: Tuesday, December 26, 2023 11:43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24AF-CF5A-4D3B-AE40-0F71C8D9161D}">
  <sheetPr>
    <pageSetUpPr fitToPage="1"/>
  </sheetPr>
  <dimension ref="A1:E89"/>
  <sheetViews>
    <sheetView workbookViewId="0">
      <pane ySplit="7" topLeftCell="A42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173</v>
      </c>
      <c r="B2" s="2"/>
      <c r="C2" s="2"/>
      <c r="D2" s="2"/>
      <c r="E2" s="2"/>
    </row>
    <row r="3" spans="1:5" ht="15" x14ac:dyDescent="0.25">
      <c r="A3" s="2" t="s">
        <v>172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1309952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256067</v>
      </c>
      <c r="C9" s="6">
        <v>73212</v>
      </c>
      <c r="D9" s="6">
        <v>73211</v>
      </c>
      <c r="E9" s="6">
        <v>1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2411219</v>
      </c>
      <c r="C11" s="6">
        <v>715898</v>
      </c>
      <c r="D11" s="6">
        <v>191867</v>
      </c>
      <c r="E11" s="6">
        <v>524031</v>
      </c>
    </row>
    <row r="12" spans="1:5" ht="15" x14ac:dyDescent="0.25">
      <c r="A12" s="5" t="s">
        <v>12</v>
      </c>
      <c r="B12" s="6">
        <v>1056045</v>
      </c>
      <c r="C12" s="6">
        <v>343106</v>
      </c>
      <c r="D12" s="6">
        <v>325876</v>
      </c>
      <c r="E12" s="6">
        <v>17230</v>
      </c>
    </row>
    <row r="13" spans="1:5" ht="15" x14ac:dyDescent="0.25">
      <c r="A13" s="5" t="s">
        <v>13</v>
      </c>
      <c r="B13" s="6">
        <v>14899528</v>
      </c>
      <c r="C13" s="6">
        <v>5006476</v>
      </c>
      <c r="D13" s="6">
        <v>4975855</v>
      </c>
      <c r="E13" s="6">
        <v>30621</v>
      </c>
    </row>
    <row r="14" spans="1:5" ht="15" x14ac:dyDescent="0.25">
      <c r="A14" s="5" t="s">
        <v>14</v>
      </c>
      <c r="B14" s="6">
        <v>1661428</v>
      </c>
      <c r="C14" s="6">
        <v>607448</v>
      </c>
      <c r="D14" s="6">
        <v>599601</v>
      </c>
      <c r="E14" s="6">
        <v>7847</v>
      </c>
    </row>
    <row r="15" spans="1:5" ht="15" x14ac:dyDescent="0.25">
      <c r="A15" s="5" t="s">
        <v>15</v>
      </c>
      <c r="B15" s="6">
        <v>1154028</v>
      </c>
      <c r="C15" s="6">
        <v>367160</v>
      </c>
      <c r="D15" s="6">
        <v>335786</v>
      </c>
      <c r="E15" s="6">
        <v>31374</v>
      </c>
    </row>
    <row r="16" spans="1:5" ht="15" x14ac:dyDescent="0.25">
      <c r="A16" s="5" t="s">
        <v>16</v>
      </c>
      <c r="B16" s="6">
        <v>286239</v>
      </c>
      <c r="C16" s="6">
        <v>94281</v>
      </c>
      <c r="D16" s="6">
        <v>14867</v>
      </c>
      <c r="E16" s="6">
        <v>79414</v>
      </c>
    </row>
    <row r="17" spans="1:5" ht="15" x14ac:dyDescent="0.25">
      <c r="A17" s="5" t="s">
        <v>17</v>
      </c>
      <c r="B17" s="6">
        <v>288953</v>
      </c>
      <c r="C17" s="6">
        <v>135662</v>
      </c>
      <c r="D17" s="6">
        <v>90443</v>
      </c>
      <c r="E17" s="6">
        <v>45219</v>
      </c>
    </row>
    <row r="18" spans="1:5" ht="15" x14ac:dyDescent="0.25">
      <c r="A18" s="5" t="s">
        <v>18</v>
      </c>
      <c r="B18" s="6">
        <v>5455815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2525872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43385</v>
      </c>
      <c r="C20" s="6">
        <v>5848</v>
      </c>
      <c r="D20" s="6" t="s">
        <v>8</v>
      </c>
      <c r="E20" s="6">
        <v>5848</v>
      </c>
    </row>
    <row r="21" spans="1:5" ht="15" x14ac:dyDescent="0.25">
      <c r="A21" s="5" t="s">
        <v>21</v>
      </c>
      <c r="B21" s="6">
        <v>460886</v>
      </c>
      <c r="C21" s="6">
        <v>185038</v>
      </c>
      <c r="D21" s="6">
        <v>31624</v>
      </c>
      <c r="E21" s="6">
        <v>153414</v>
      </c>
    </row>
    <row r="22" spans="1:5" ht="15" x14ac:dyDescent="0.25">
      <c r="A22" s="5" t="s">
        <v>171</v>
      </c>
      <c r="B22" s="6">
        <v>470049</v>
      </c>
      <c r="C22" s="6">
        <v>141516</v>
      </c>
      <c r="D22" s="6">
        <v>141516</v>
      </c>
      <c r="E22" s="6">
        <v>0</v>
      </c>
    </row>
    <row r="23" spans="1:5" ht="15" x14ac:dyDescent="0.25">
      <c r="A23" s="5" t="s">
        <v>23</v>
      </c>
      <c r="B23" s="6">
        <v>3412599</v>
      </c>
      <c r="C23" s="6">
        <v>1011734</v>
      </c>
      <c r="D23" s="6">
        <v>913035</v>
      </c>
      <c r="E23" s="6">
        <v>98699</v>
      </c>
    </row>
    <row r="24" spans="1:5" ht="15" x14ac:dyDescent="0.25">
      <c r="A24" s="5" t="s">
        <v>24</v>
      </c>
      <c r="B24" s="6">
        <v>2028716</v>
      </c>
      <c r="C24" s="6">
        <v>583226</v>
      </c>
      <c r="D24" s="6">
        <v>583226</v>
      </c>
      <c r="E24" s="6">
        <v>0</v>
      </c>
    </row>
    <row r="25" spans="1:5" ht="15" x14ac:dyDescent="0.25">
      <c r="A25" s="5" t="s">
        <v>25</v>
      </c>
      <c r="B25" s="6">
        <v>784039</v>
      </c>
      <c r="C25" s="6">
        <v>257126</v>
      </c>
      <c r="D25" s="6">
        <v>193127</v>
      </c>
      <c r="E25" s="6">
        <v>63999</v>
      </c>
    </row>
    <row r="26" spans="1:5" ht="15" x14ac:dyDescent="0.25">
      <c r="A26" s="5" t="s">
        <v>26</v>
      </c>
      <c r="B26" s="6">
        <v>461437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1564993</v>
      </c>
      <c r="C27" s="6">
        <v>635006</v>
      </c>
      <c r="D27" s="6">
        <v>635006</v>
      </c>
      <c r="E27" s="6">
        <v>0</v>
      </c>
    </row>
    <row r="28" spans="1:5" ht="15" x14ac:dyDescent="0.25">
      <c r="A28" s="5" t="s">
        <v>28</v>
      </c>
      <c r="B28" s="6">
        <v>2010999</v>
      </c>
      <c r="C28" s="6">
        <v>755391</v>
      </c>
      <c r="D28" s="6">
        <v>755391</v>
      </c>
      <c r="E28" s="6">
        <v>0</v>
      </c>
    </row>
    <row r="29" spans="1:5" ht="15" x14ac:dyDescent="0.25">
      <c r="A29" s="5" t="s">
        <v>29</v>
      </c>
      <c r="B29" s="6">
        <v>390487</v>
      </c>
      <c r="C29" s="6">
        <v>106935</v>
      </c>
      <c r="D29" s="6">
        <v>85050</v>
      </c>
      <c r="E29" s="6">
        <v>21885</v>
      </c>
    </row>
    <row r="30" spans="1:5" ht="15" x14ac:dyDescent="0.25">
      <c r="A30" s="5" t="s">
        <v>30</v>
      </c>
      <c r="B30" s="6">
        <v>1570580</v>
      </c>
      <c r="C30" s="6">
        <v>452322</v>
      </c>
      <c r="D30" s="6">
        <v>452322</v>
      </c>
      <c r="E30" s="6">
        <v>0</v>
      </c>
    </row>
    <row r="31" spans="1:5" ht="15" x14ac:dyDescent="0.25">
      <c r="A31" s="5" t="s">
        <v>31</v>
      </c>
      <c r="B31" s="6">
        <v>2165502</v>
      </c>
      <c r="C31" s="6">
        <v>486393</v>
      </c>
      <c r="D31" s="6">
        <v>0</v>
      </c>
      <c r="E31" s="6">
        <v>486393</v>
      </c>
    </row>
    <row r="32" spans="1:5" ht="15" x14ac:dyDescent="0.25">
      <c r="A32" s="5" t="s">
        <v>32</v>
      </c>
      <c r="B32" s="6">
        <v>3026844</v>
      </c>
      <c r="C32" s="6">
        <v>1035191</v>
      </c>
      <c r="D32" s="6">
        <v>967216</v>
      </c>
      <c r="E32" s="6">
        <v>67975</v>
      </c>
    </row>
    <row r="33" spans="1:5" ht="15" x14ac:dyDescent="0.25">
      <c r="A33" s="5" t="s">
        <v>33</v>
      </c>
      <c r="B33" s="6">
        <v>1377072</v>
      </c>
      <c r="C33" s="6">
        <v>307212</v>
      </c>
      <c r="D33" s="6">
        <v>307212</v>
      </c>
      <c r="E33" s="6">
        <v>0</v>
      </c>
    </row>
    <row r="34" spans="1:5" ht="15" x14ac:dyDescent="0.25">
      <c r="A34" s="5" t="s">
        <v>34</v>
      </c>
      <c r="B34" s="6">
        <v>830349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1394917</v>
      </c>
      <c r="C35" s="6">
        <v>274164</v>
      </c>
      <c r="D35" s="6">
        <v>274164</v>
      </c>
      <c r="E35" s="6">
        <v>0</v>
      </c>
    </row>
    <row r="36" spans="1:5" ht="15" x14ac:dyDescent="0.25">
      <c r="A36" s="5" t="s">
        <v>36</v>
      </c>
      <c r="B36" s="6">
        <v>303340</v>
      </c>
      <c r="C36" s="6">
        <v>118848</v>
      </c>
      <c r="D36" s="6">
        <v>118848</v>
      </c>
      <c r="E36" s="6">
        <v>0</v>
      </c>
    </row>
    <row r="37" spans="1:5" ht="15" x14ac:dyDescent="0.25">
      <c r="A37" s="5" t="s">
        <v>37</v>
      </c>
      <c r="B37" s="6">
        <v>18738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384063</v>
      </c>
      <c r="C38" s="6">
        <v>76084</v>
      </c>
      <c r="D38" s="6">
        <v>74389</v>
      </c>
      <c r="E38" s="6">
        <v>1695</v>
      </c>
    </row>
    <row r="39" spans="1:5" ht="15" x14ac:dyDescent="0.25">
      <c r="A39" s="5" t="s">
        <v>39</v>
      </c>
      <c r="B39" s="6">
        <v>830924</v>
      </c>
      <c r="C39" s="6">
        <v>363105</v>
      </c>
      <c r="D39" s="6">
        <v>363105</v>
      </c>
      <c r="E39" s="6">
        <v>0</v>
      </c>
    </row>
    <row r="40" spans="1:5" ht="15" x14ac:dyDescent="0.25">
      <c r="A40" s="5" t="s">
        <v>40</v>
      </c>
      <c r="B40" s="6">
        <v>233764</v>
      </c>
      <c r="C40" s="6">
        <v>92291</v>
      </c>
      <c r="D40" s="6">
        <v>91794</v>
      </c>
      <c r="E40" s="6">
        <v>497</v>
      </c>
    </row>
    <row r="41" spans="1:5" ht="15" x14ac:dyDescent="0.25">
      <c r="A41" s="5" t="s">
        <v>41</v>
      </c>
      <c r="B41" s="6">
        <v>2051856</v>
      </c>
      <c r="C41" s="6">
        <v>747249</v>
      </c>
      <c r="D41" s="6">
        <v>747249</v>
      </c>
      <c r="E41" s="6">
        <v>0</v>
      </c>
    </row>
    <row r="42" spans="1:5" ht="15" x14ac:dyDescent="0.25">
      <c r="A42" s="5" t="s">
        <v>42</v>
      </c>
      <c r="B42" s="6">
        <v>986422</v>
      </c>
      <c r="C42" s="6">
        <v>296051</v>
      </c>
      <c r="D42" s="6">
        <v>296051</v>
      </c>
      <c r="E42" s="6">
        <v>0</v>
      </c>
    </row>
    <row r="43" spans="1:5" ht="15" x14ac:dyDescent="0.25">
      <c r="A43" s="5" t="s">
        <v>43</v>
      </c>
      <c r="B43" s="6">
        <v>7680825</v>
      </c>
      <c r="C43" s="6">
        <v>2539582</v>
      </c>
      <c r="D43" s="6">
        <v>434139</v>
      </c>
      <c r="E43" s="6">
        <v>2105443</v>
      </c>
    </row>
    <row r="44" spans="1:5" ht="15" x14ac:dyDescent="0.25">
      <c r="A44" s="5" t="s">
        <v>44</v>
      </c>
      <c r="B44" s="6">
        <v>2863985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129601</v>
      </c>
      <c r="C45" s="6">
        <v>35157</v>
      </c>
      <c r="D45" s="6">
        <v>33487</v>
      </c>
      <c r="E45" s="6">
        <v>1670</v>
      </c>
    </row>
    <row r="46" spans="1:5" ht="15" x14ac:dyDescent="0.25">
      <c r="A46" s="5" t="s">
        <v>46</v>
      </c>
      <c r="B46" s="6">
        <v>3514966</v>
      </c>
      <c r="C46" s="6">
        <v>851164</v>
      </c>
      <c r="D46" s="6">
        <v>850914</v>
      </c>
      <c r="E46" s="6">
        <v>250</v>
      </c>
    </row>
    <row r="47" spans="1:5" ht="15" x14ac:dyDescent="0.25">
      <c r="A47" s="5" t="s">
        <v>47</v>
      </c>
      <c r="B47" s="6">
        <v>1214965</v>
      </c>
      <c r="C47" s="6">
        <v>339553</v>
      </c>
      <c r="D47" s="6">
        <v>339553</v>
      </c>
      <c r="E47" s="6">
        <v>0</v>
      </c>
    </row>
    <row r="48" spans="1:5" ht="15" x14ac:dyDescent="0.25">
      <c r="A48" s="5" t="s">
        <v>48</v>
      </c>
      <c r="B48" s="6">
        <v>1287789</v>
      </c>
      <c r="C48" s="6">
        <v>713769</v>
      </c>
      <c r="D48" s="6">
        <v>604860</v>
      </c>
      <c r="E48" s="6">
        <v>108909</v>
      </c>
    </row>
    <row r="49" spans="1:5" ht="15" x14ac:dyDescent="0.25">
      <c r="A49" s="5" t="s">
        <v>49</v>
      </c>
      <c r="B49" s="6">
        <v>3596140</v>
      </c>
      <c r="C49" s="6">
        <v>1148733</v>
      </c>
      <c r="D49" s="6">
        <v>1083201</v>
      </c>
      <c r="E49" s="6">
        <v>65532</v>
      </c>
    </row>
    <row r="50" spans="1:5" ht="15" x14ac:dyDescent="0.25">
      <c r="A50" s="5" t="s">
        <v>50</v>
      </c>
      <c r="B50" s="6">
        <v>1494510</v>
      </c>
      <c r="C50" s="6">
        <v>677286</v>
      </c>
      <c r="D50" s="6" t="s">
        <v>8</v>
      </c>
      <c r="E50" s="6">
        <v>677286</v>
      </c>
    </row>
    <row r="51" spans="1:5" ht="15" x14ac:dyDescent="0.25">
      <c r="A51" s="5" t="s">
        <v>51</v>
      </c>
      <c r="B51" s="6">
        <v>352153</v>
      </c>
      <c r="C51" s="6">
        <v>98736</v>
      </c>
      <c r="D51" s="6">
        <v>98736</v>
      </c>
      <c r="E51" s="6">
        <v>0</v>
      </c>
    </row>
    <row r="52" spans="1:5" ht="15" x14ac:dyDescent="0.25">
      <c r="A52" s="5" t="s">
        <v>52</v>
      </c>
      <c r="B52" s="6">
        <v>1572719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134457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1847151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5994438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507462</v>
      </c>
      <c r="C56" s="6">
        <v>135546</v>
      </c>
      <c r="D56" s="6">
        <v>134566</v>
      </c>
      <c r="E56" s="6">
        <v>980</v>
      </c>
    </row>
    <row r="57" spans="1:5" ht="15" x14ac:dyDescent="0.25">
      <c r="A57" s="5" t="s">
        <v>57</v>
      </c>
      <c r="B57" s="6">
        <v>200875</v>
      </c>
      <c r="C57" s="6">
        <v>88270</v>
      </c>
      <c r="D57" s="6">
        <v>0</v>
      </c>
      <c r="E57" s="6">
        <v>88270</v>
      </c>
    </row>
    <row r="58" spans="1:5" ht="15" x14ac:dyDescent="0.25">
      <c r="A58" s="5" t="s">
        <v>58</v>
      </c>
      <c r="B58" s="6">
        <v>37480</v>
      </c>
      <c r="C58" s="6">
        <v>18399</v>
      </c>
      <c r="D58" s="6" t="s">
        <v>8</v>
      </c>
      <c r="E58" s="6">
        <v>18399</v>
      </c>
    </row>
    <row r="59" spans="1:5" ht="15" x14ac:dyDescent="0.25">
      <c r="A59" s="5" t="s">
        <v>59</v>
      </c>
      <c r="B59" s="6">
        <v>1899241</v>
      </c>
      <c r="C59" s="6">
        <v>691695</v>
      </c>
      <c r="D59" s="6">
        <v>691695</v>
      </c>
      <c r="E59" s="6">
        <v>0</v>
      </c>
    </row>
    <row r="60" spans="1:5" ht="15" x14ac:dyDescent="0.25">
      <c r="A60" s="5" t="s">
        <v>60</v>
      </c>
      <c r="B60" s="6">
        <v>2151256</v>
      </c>
      <c r="C60" s="6">
        <v>827601</v>
      </c>
      <c r="D60" s="6">
        <v>808530</v>
      </c>
      <c r="E60" s="6">
        <v>19071</v>
      </c>
    </row>
    <row r="61" spans="1:5" ht="15" x14ac:dyDescent="0.25">
      <c r="A61" s="5" t="s">
        <v>61</v>
      </c>
      <c r="B61" s="6">
        <v>655097</v>
      </c>
      <c r="C61" s="6">
        <v>241082</v>
      </c>
      <c r="D61" s="6">
        <v>241082</v>
      </c>
      <c r="E61" s="6">
        <v>0</v>
      </c>
    </row>
    <row r="62" spans="1:5" ht="15" x14ac:dyDescent="0.25">
      <c r="A62" s="5" t="s">
        <v>62</v>
      </c>
      <c r="B62" s="6">
        <v>1543953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84568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96904625</v>
      </c>
      <c r="C64" s="8">
        <f>SUM(C8:C63)</f>
        <v>23680546</v>
      </c>
      <c r="D64" s="8">
        <f>SUM(D8:D63)</f>
        <v>18958594</v>
      </c>
      <c r="E64" s="8">
        <f>SUM(E8:E63)</f>
        <v>4721952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April 11, 2024 8:39 AM&amp;R&amp;"-,Regular"&amp;7Page : &amp;"-,Regular"&amp;7&amp;P&amp;"-,Regular"&amp;7 of &amp;"-,Regular"&amp;7&amp;N</oddFooter>
    <evenFooter>&amp;L&amp;"-,Regular"&amp;7Created On: Thursday, April 11, 2024 8:39 AM&amp;R&amp;"-,Regular"&amp;7Page : &amp;"-,Regular"&amp;7&amp;P&amp;"-,Regular"&amp;7 of &amp;"-,Regular"&amp;7&amp;N</evenFooter>
    <firstFooter>&amp;L&amp;"-,Regular"&amp;7Created On: Thursday, April 11, 2024 8:39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3E79-05D4-4AA5-A0D6-49766FBC046F}">
  <sheetPr>
    <pageSetUpPr fitToPage="1"/>
  </sheetPr>
  <dimension ref="A1:E89"/>
  <sheetViews>
    <sheetView workbookViewId="0">
      <pane ySplit="7" topLeftCell="A38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174</v>
      </c>
      <c r="B2" s="2"/>
      <c r="C2" s="2"/>
      <c r="D2" s="2"/>
      <c r="E2" s="2"/>
    </row>
    <row r="3" spans="1:5" ht="15" x14ac:dyDescent="0.25">
      <c r="A3" s="2" t="s">
        <v>172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1317561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256992</v>
      </c>
      <c r="C9" s="6">
        <v>73792</v>
      </c>
      <c r="D9" s="6">
        <v>73791</v>
      </c>
      <c r="E9" s="6">
        <v>1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2420427</v>
      </c>
      <c r="C11" s="6">
        <v>722731</v>
      </c>
      <c r="D11" s="6">
        <v>193029</v>
      </c>
      <c r="E11" s="6">
        <v>529702</v>
      </c>
    </row>
    <row r="12" spans="1:5" ht="15" x14ac:dyDescent="0.25">
      <c r="A12" s="5" t="s">
        <v>12</v>
      </c>
      <c r="B12" s="6">
        <v>1060068</v>
      </c>
      <c r="C12" s="6">
        <v>343621</v>
      </c>
      <c r="D12" s="6">
        <v>325616</v>
      </c>
      <c r="E12" s="6">
        <v>18005</v>
      </c>
    </row>
    <row r="13" spans="1:5" ht="15" x14ac:dyDescent="0.25">
      <c r="A13" s="5" t="s">
        <v>13</v>
      </c>
      <c r="B13" s="6">
        <v>14948667</v>
      </c>
      <c r="C13" s="6">
        <v>5049366</v>
      </c>
      <c r="D13" s="6">
        <v>5018469</v>
      </c>
      <c r="E13" s="6">
        <v>30897</v>
      </c>
    </row>
    <row r="14" spans="1:5" ht="15" x14ac:dyDescent="0.25">
      <c r="A14" s="5" t="s">
        <v>14</v>
      </c>
      <c r="B14" s="6">
        <v>1672159</v>
      </c>
      <c r="C14" s="6">
        <v>613035</v>
      </c>
      <c r="D14" s="6">
        <v>605220</v>
      </c>
      <c r="E14" s="6">
        <v>7815</v>
      </c>
    </row>
    <row r="15" spans="1:5" ht="15" x14ac:dyDescent="0.25">
      <c r="A15" s="5" t="s">
        <v>15</v>
      </c>
      <c r="B15" s="6">
        <v>1159868</v>
      </c>
      <c r="C15" s="6">
        <v>370439</v>
      </c>
      <c r="D15" s="6">
        <v>338919</v>
      </c>
      <c r="E15" s="6">
        <v>31520</v>
      </c>
    </row>
    <row r="16" spans="1:5" ht="15" x14ac:dyDescent="0.25">
      <c r="A16" s="5" t="s">
        <v>16</v>
      </c>
      <c r="B16" s="6">
        <v>287985</v>
      </c>
      <c r="C16" s="6">
        <v>95183</v>
      </c>
      <c r="D16" s="6">
        <v>15109</v>
      </c>
      <c r="E16" s="6">
        <v>80074</v>
      </c>
    </row>
    <row r="17" spans="1:5" ht="15" x14ac:dyDescent="0.25">
      <c r="A17" s="5" t="s">
        <v>17</v>
      </c>
      <c r="B17" s="6">
        <v>289913</v>
      </c>
      <c r="C17" s="6">
        <v>136633</v>
      </c>
      <c r="D17" s="6">
        <v>91270</v>
      </c>
      <c r="E17" s="6">
        <v>45363</v>
      </c>
    </row>
    <row r="18" spans="1:5" ht="15" x14ac:dyDescent="0.25">
      <c r="A18" s="5" t="s">
        <v>18</v>
      </c>
      <c r="B18" s="6">
        <v>5512561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2531022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43465</v>
      </c>
      <c r="C20" s="6">
        <v>5864</v>
      </c>
      <c r="D20" s="6" t="s">
        <v>8</v>
      </c>
      <c r="E20" s="6">
        <v>5864</v>
      </c>
    </row>
    <row r="21" spans="1:5" ht="15" x14ac:dyDescent="0.25">
      <c r="A21" s="5" t="s">
        <v>21</v>
      </c>
      <c r="B21" s="6">
        <v>461749</v>
      </c>
      <c r="C21" s="6">
        <v>185702</v>
      </c>
      <c r="D21" s="6">
        <v>31737</v>
      </c>
      <c r="E21" s="6">
        <v>153965</v>
      </c>
    </row>
    <row r="22" spans="1:5" ht="15" x14ac:dyDescent="0.25">
      <c r="A22" s="5" t="s">
        <v>171</v>
      </c>
      <c r="B22" s="6">
        <v>472996</v>
      </c>
      <c r="C22" s="6">
        <v>143304</v>
      </c>
      <c r="D22" s="6">
        <v>143304</v>
      </c>
      <c r="E22" s="6">
        <v>0</v>
      </c>
    </row>
    <row r="23" spans="1:5" ht="15" x14ac:dyDescent="0.25">
      <c r="A23" s="5" t="s">
        <v>23</v>
      </c>
      <c r="B23" s="6">
        <v>3427903</v>
      </c>
      <c r="C23" s="6">
        <v>1018726</v>
      </c>
      <c r="D23" s="6">
        <v>920246</v>
      </c>
      <c r="E23" s="6">
        <v>98480</v>
      </c>
    </row>
    <row r="24" spans="1:5" ht="15" x14ac:dyDescent="0.25">
      <c r="A24" s="5" t="s">
        <v>24</v>
      </c>
      <c r="B24" s="6">
        <v>2034560</v>
      </c>
      <c r="C24" s="6">
        <v>590193</v>
      </c>
      <c r="D24" s="6">
        <v>590193</v>
      </c>
      <c r="E24" s="6">
        <v>0</v>
      </c>
    </row>
    <row r="25" spans="1:5" ht="15" x14ac:dyDescent="0.25">
      <c r="A25" s="5" t="s">
        <v>25</v>
      </c>
      <c r="B25" s="6">
        <v>787055</v>
      </c>
      <c r="C25" s="6">
        <v>258712</v>
      </c>
      <c r="D25" s="6">
        <v>193251</v>
      </c>
      <c r="E25" s="6">
        <v>65461</v>
      </c>
    </row>
    <row r="26" spans="1:5" ht="15" x14ac:dyDescent="0.25">
      <c r="A26" s="5" t="s">
        <v>26</v>
      </c>
      <c r="B26" s="6">
        <v>463957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1569801</v>
      </c>
      <c r="C27" s="6">
        <v>639075</v>
      </c>
      <c r="D27" s="6">
        <v>639075</v>
      </c>
      <c r="E27" s="6">
        <v>0</v>
      </c>
    </row>
    <row r="28" spans="1:5" ht="15" x14ac:dyDescent="0.25">
      <c r="A28" s="5" t="s">
        <v>28</v>
      </c>
      <c r="B28" s="6">
        <v>2019130</v>
      </c>
      <c r="C28" s="6">
        <v>760330</v>
      </c>
      <c r="D28" s="6">
        <v>760330</v>
      </c>
      <c r="E28" s="6">
        <v>0</v>
      </c>
    </row>
    <row r="29" spans="1:5" ht="15" x14ac:dyDescent="0.25">
      <c r="A29" s="5" t="s">
        <v>29</v>
      </c>
      <c r="B29" s="6">
        <v>393978</v>
      </c>
      <c r="C29" s="6">
        <v>109208</v>
      </c>
      <c r="D29" s="6">
        <v>86719</v>
      </c>
      <c r="E29" s="6">
        <v>22489</v>
      </c>
    </row>
    <row r="30" spans="1:5" ht="15" x14ac:dyDescent="0.25">
      <c r="A30" s="5" t="s">
        <v>30</v>
      </c>
      <c r="B30" s="6">
        <v>1578170</v>
      </c>
      <c r="C30" s="6">
        <v>455124</v>
      </c>
      <c r="D30" s="6">
        <v>455124</v>
      </c>
      <c r="E30" s="6">
        <v>0</v>
      </c>
    </row>
    <row r="31" spans="1:5" ht="15" x14ac:dyDescent="0.25">
      <c r="A31" s="5" t="s">
        <v>31</v>
      </c>
      <c r="B31" s="6">
        <v>2218326</v>
      </c>
      <c r="C31" s="6">
        <v>485089</v>
      </c>
      <c r="D31" s="6">
        <v>0</v>
      </c>
      <c r="E31" s="6">
        <v>485089</v>
      </c>
    </row>
    <row r="32" spans="1:5" ht="15" x14ac:dyDescent="0.25">
      <c r="A32" s="5" t="s">
        <v>32</v>
      </c>
      <c r="B32" s="6">
        <v>3041264</v>
      </c>
      <c r="C32" s="6">
        <v>1044410</v>
      </c>
      <c r="D32" s="6">
        <v>975320</v>
      </c>
      <c r="E32" s="6">
        <v>69090</v>
      </c>
    </row>
    <row r="33" spans="1:5" ht="15" x14ac:dyDescent="0.25">
      <c r="A33" s="5" t="s">
        <v>33</v>
      </c>
      <c r="B33" s="6">
        <v>1381506</v>
      </c>
      <c r="C33" s="6">
        <v>309905</v>
      </c>
      <c r="D33" s="6">
        <v>309905</v>
      </c>
      <c r="E33" s="6">
        <v>0</v>
      </c>
    </row>
    <row r="34" spans="1:5" ht="15" x14ac:dyDescent="0.25">
      <c r="A34" s="5" t="s">
        <v>34</v>
      </c>
      <c r="B34" s="6">
        <v>834617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1412370</v>
      </c>
      <c r="C35" s="6">
        <v>284621</v>
      </c>
      <c r="D35" s="6">
        <v>284621</v>
      </c>
      <c r="E35" s="6">
        <v>0</v>
      </c>
    </row>
    <row r="36" spans="1:5" ht="15" x14ac:dyDescent="0.25">
      <c r="A36" s="5" t="s">
        <v>36</v>
      </c>
      <c r="B36" s="6">
        <v>306571</v>
      </c>
      <c r="C36" s="6">
        <v>120863</v>
      </c>
      <c r="D36" s="6">
        <v>120863</v>
      </c>
      <c r="E36" s="6">
        <v>0</v>
      </c>
    </row>
    <row r="37" spans="1:5" ht="15" x14ac:dyDescent="0.25">
      <c r="A37" s="5" t="s">
        <v>37</v>
      </c>
      <c r="B37" s="6">
        <v>20935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387028</v>
      </c>
      <c r="C38" s="6">
        <v>77963</v>
      </c>
      <c r="D38" s="6">
        <v>76260</v>
      </c>
      <c r="E38" s="6">
        <v>1703</v>
      </c>
    </row>
    <row r="39" spans="1:5" ht="15" x14ac:dyDescent="0.25">
      <c r="A39" s="5" t="s">
        <v>39</v>
      </c>
      <c r="B39" s="6">
        <v>820127</v>
      </c>
      <c r="C39" s="6">
        <v>353299</v>
      </c>
      <c r="D39" s="6">
        <v>353299</v>
      </c>
      <c r="E39" s="6">
        <v>0</v>
      </c>
    </row>
    <row r="40" spans="1:5" ht="15" x14ac:dyDescent="0.25">
      <c r="A40" s="5" t="s">
        <v>40</v>
      </c>
      <c r="B40" s="6">
        <v>236004</v>
      </c>
      <c r="C40" s="6">
        <v>94030</v>
      </c>
      <c r="D40" s="6">
        <v>93533</v>
      </c>
      <c r="E40" s="6">
        <v>497</v>
      </c>
    </row>
    <row r="41" spans="1:5" ht="15" x14ac:dyDescent="0.25">
      <c r="A41" s="5" t="s">
        <v>41</v>
      </c>
      <c r="B41" s="6">
        <v>2063965</v>
      </c>
      <c r="C41" s="6">
        <v>752082</v>
      </c>
      <c r="D41" s="6">
        <v>752082</v>
      </c>
      <c r="E41" s="6">
        <v>0</v>
      </c>
    </row>
    <row r="42" spans="1:5" ht="15" x14ac:dyDescent="0.25">
      <c r="A42" s="5" t="s">
        <v>42</v>
      </c>
      <c r="B42" s="6">
        <v>988098</v>
      </c>
      <c r="C42" s="6">
        <v>296129</v>
      </c>
      <c r="D42" s="6">
        <v>296129</v>
      </c>
      <c r="E42" s="6">
        <v>0</v>
      </c>
    </row>
    <row r="43" spans="1:5" ht="15" x14ac:dyDescent="0.25">
      <c r="A43" s="5" t="s">
        <v>43</v>
      </c>
      <c r="B43" s="6">
        <v>7698368</v>
      </c>
      <c r="C43" s="6">
        <v>2545304</v>
      </c>
      <c r="D43" s="6">
        <v>434986</v>
      </c>
      <c r="E43" s="6">
        <v>2110318</v>
      </c>
    </row>
    <row r="44" spans="1:5" ht="15" x14ac:dyDescent="0.25">
      <c r="A44" s="5" t="s">
        <v>44</v>
      </c>
      <c r="B44" s="6">
        <v>2887760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130602</v>
      </c>
      <c r="C45" s="6">
        <v>35595</v>
      </c>
      <c r="D45" s="6">
        <v>33870</v>
      </c>
      <c r="E45" s="6">
        <v>1725</v>
      </c>
    </row>
    <row r="46" spans="1:5" ht="15" x14ac:dyDescent="0.25">
      <c r="A46" s="5" t="s">
        <v>46</v>
      </c>
      <c r="B46" s="6">
        <v>3535387</v>
      </c>
      <c r="C46" s="6">
        <v>859686</v>
      </c>
      <c r="D46" s="6">
        <v>859431</v>
      </c>
      <c r="E46" s="6">
        <v>255</v>
      </c>
    </row>
    <row r="47" spans="1:5" ht="15" x14ac:dyDescent="0.25">
      <c r="A47" s="5" t="s">
        <v>47</v>
      </c>
      <c r="B47" s="6">
        <v>1228658</v>
      </c>
      <c r="C47" s="6">
        <v>355699</v>
      </c>
      <c r="D47" s="6">
        <v>355699</v>
      </c>
      <c r="E47" s="6">
        <v>0</v>
      </c>
    </row>
    <row r="48" spans="1:5" ht="15" x14ac:dyDescent="0.25">
      <c r="A48" s="5" t="s">
        <v>48</v>
      </c>
      <c r="B48" s="6">
        <v>1293975</v>
      </c>
      <c r="C48" s="6">
        <v>720778</v>
      </c>
      <c r="D48" s="6">
        <v>612150</v>
      </c>
      <c r="E48" s="6">
        <v>108628</v>
      </c>
    </row>
    <row r="49" spans="1:5" ht="15" x14ac:dyDescent="0.25">
      <c r="A49" s="5" t="s">
        <v>49</v>
      </c>
      <c r="B49" s="6">
        <v>3617435</v>
      </c>
      <c r="C49" s="6">
        <v>1158618</v>
      </c>
      <c r="D49" s="6">
        <v>1092234</v>
      </c>
      <c r="E49" s="6">
        <v>66384</v>
      </c>
    </row>
    <row r="50" spans="1:5" ht="15" x14ac:dyDescent="0.25">
      <c r="A50" s="5" t="s">
        <v>50</v>
      </c>
      <c r="B50" s="6">
        <v>1492928</v>
      </c>
      <c r="C50" s="6">
        <v>680741</v>
      </c>
      <c r="D50" s="6" t="s">
        <v>8</v>
      </c>
      <c r="E50" s="6">
        <v>680741</v>
      </c>
    </row>
    <row r="51" spans="1:5" ht="15" x14ac:dyDescent="0.25">
      <c r="A51" s="5" t="s">
        <v>51</v>
      </c>
      <c r="B51" s="6">
        <v>353305</v>
      </c>
      <c r="C51" s="6">
        <v>99424</v>
      </c>
      <c r="D51" s="6">
        <v>99424</v>
      </c>
      <c r="E51" s="6">
        <v>0</v>
      </c>
    </row>
    <row r="52" spans="1:5" ht="15" x14ac:dyDescent="0.25">
      <c r="A52" s="5" t="s">
        <v>52</v>
      </c>
      <c r="B52" s="6">
        <v>1582698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135005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1855012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6044123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513040</v>
      </c>
      <c r="C56" s="6">
        <v>138430</v>
      </c>
      <c r="D56" s="6">
        <v>137459</v>
      </c>
      <c r="E56" s="6">
        <v>971</v>
      </c>
    </row>
    <row r="57" spans="1:5" ht="15" x14ac:dyDescent="0.25">
      <c r="A57" s="5" t="s">
        <v>57</v>
      </c>
      <c r="B57" s="6">
        <v>201554</v>
      </c>
      <c r="C57" s="6">
        <v>88729</v>
      </c>
      <c r="D57" s="6">
        <v>0</v>
      </c>
      <c r="E57" s="6">
        <v>88729</v>
      </c>
    </row>
    <row r="58" spans="1:5" ht="15" x14ac:dyDescent="0.25">
      <c r="A58" s="5" t="s">
        <v>58</v>
      </c>
      <c r="B58" s="6">
        <v>37617</v>
      </c>
      <c r="C58" s="6">
        <v>18507</v>
      </c>
      <c r="D58" s="6" t="s">
        <v>8</v>
      </c>
      <c r="E58" s="6">
        <v>18507</v>
      </c>
    </row>
    <row r="59" spans="1:5" ht="15" x14ac:dyDescent="0.25">
      <c r="A59" s="5" t="s">
        <v>59</v>
      </c>
      <c r="B59" s="6">
        <v>1911917</v>
      </c>
      <c r="C59" s="6">
        <v>699343</v>
      </c>
      <c r="D59" s="6">
        <v>699343</v>
      </c>
      <c r="E59" s="6">
        <v>0</v>
      </c>
    </row>
    <row r="60" spans="1:5" ht="15" x14ac:dyDescent="0.25">
      <c r="A60" s="5" t="s">
        <v>60</v>
      </c>
      <c r="B60" s="6">
        <v>2165366</v>
      </c>
      <c r="C60" s="6">
        <v>835170</v>
      </c>
      <c r="D60" s="6">
        <v>815325</v>
      </c>
      <c r="E60" s="6">
        <v>19845</v>
      </c>
    </row>
    <row r="61" spans="1:5" ht="15" x14ac:dyDescent="0.25">
      <c r="A61" s="5" t="s">
        <v>61</v>
      </c>
      <c r="B61" s="6">
        <v>657598</v>
      </c>
      <c r="C61" s="6">
        <v>242852</v>
      </c>
      <c r="D61" s="6">
        <v>242852</v>
      </c>
      <c r="E61" s="6">
        <v>0</v>
      </c>
    </row>
    <row r="62" spans="1:5" ht="15" x14ac:dyDescent="0.25">
      <c r="A62" s="5" t="s">
        <v>62</v>
      </c>
      <c r="B62" s="6">
        <v>1551229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85201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97433463</v>
      </c>
      <c r="C64" s="8">
        <f>SUM(C8:C63)</f>
        <v>23868305</v>
      </c>
      <c r="D64" s="8">
        <f>SUM(D8:D63)</f>
        <v>19126187</v>
      </c>
      <c r="E64" s="8">
        <f>SUM(E8:E63)</f>
        <v>4742118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April 11, 2024 8:39 AM&amp;R&amp;"-,Regular"&amp;7Page : &amp;"-,Regular"&amp;7&amp;P&amp;"-,Regular"&amp;7 of &amp;"-,Regular"&amp;7&amp;N</oddFooter>
    <evenFooter>&amp;L&amp;"-,Regular"&amp;7Created On: Thursday, April 11, 2024 8:39 AM&amp;R&amp;"-,Regular"&amp;7Page : &amp;"-,Regular"&amp;7&amp;P&amp;"-,Regular"&amp;7 of &amp;"-,Regular"&amp;7&amp;N</evenFooter>
    <firstFooter>&amp;L&amp;"-,Regular"&amp;7Created On: Thursday, April 11, 2024 8:39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8634-FD3C-437B-AA57-C81F4D0B4687}">
  <sheetPr>
    <pageSetUpPr fitToPage="1"/>
  </sheetPr>
  <dimension ref="A1:E89"/>
  <sheetViews>
    <sheetView workbookViewId="0">
      <pane ySplit="7" topLeftCell="A43" activePane="bottomLeft" state="frozenSplit"/>
      <selection activeCell="A3" sqref="A3:XFD3"/>
      <selection pane="bottomLeft" activeCell="A3" sqref="A3:XFD3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175</v>
      </c>
      <c r="B2" s="2"/>
      <c r="C2" s="2"/>
      <c r="D2" s="2"/>
      <c r="E2" s="2"/>
    </row>
    <row r="3" spans="1:5" ht="15" x14ac:dyDescent="0.25">
      <c r="A3" s="2" t="s">
        <v>172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1325299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258149</v>
      </c>
      <c r="C9" s="6">
        <v>74366</v>
      </c>
      <c r="D9" s="6">
        <v>74365</v>
      </c>
      <c r="E9" s="6">
        <v>1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2428508</v>
      </c>
      <c r="C11" s="6">
        <v>729513</v>
      </c>
      <c r="D11" s="6">
        <v>193668</v>
      </c>
      <c r="E11" s="6">
        <v>535845</v>
      </c>
    </row>
    <row r="12" spans="1:5" ht="15" x14ac:dyDescent="0.25">
      <c r="A12" s="5" t="s">
        <v>12</v>
      </c>
      <c r="B12" s="6">
        <v>1066685</v>
      </c>
      <c r="C12" s="6">
        <v>345642</v>
      </c>
      <c r="D12" s="6">
        <v>326382</v>
      </c>
      <c r="E12" s="6">
        <v>19260</v>
      </c>
    </row>
    <row r="13" spans="1:5" ht="15" x14ac:dyDescent="0.25">
      <c r="A13" s="5" t="s">
        <v>13</v>
      </c>
      <c r="B13" s="6">
        <v>14956386</v>
      </c>
      <c r="C13" s="6">
        <v>5075184</v>
      </c>
      <c r="D13" s="6">
        <v>5044201</v>
      </c>
      <c r="E13" s="6">
        <v>30983</v>
      </c>
    </row>
    <row r="14" spans="1:5" ht="15" x14ac:dyDescent="0.25">
      <c r="A14" s="5" t="s">
        <v>14</v>
      </c>
      <c r="B14" s="6">
        <v>1683111</v>
      </c>
      <c r="C14" s="6">
        <v>617624</v>
      </c>
      <c r="D14" s="6">
        <v>609967</v>
      </c>
      <c r="E14" s="6">
        <v>7657</v>
      </c>
    </row>
    <row r="15" spans="1:5" ht="15" x14ac:dyDescent="0.25">
      <c r="A15" s="5" t="s">
        <v>15</v>
      </c>
      <c r="B15" s="6">
        <v>1166001</v>
      </c>
      <c r="C15" s="6">
        <v>372787</v>
      </c>
      <c r="D15" s="6">
        <v>341003</v>
      </c>
      <c r="E15" s="6">
        <v>31784</v>
      </c>
    </row>
    <row r="16" spans="1:5" ht="15" x14ac:dyDescent="0.25">
      <c r="A16" s="5" t="s">
        <v>16</v>
      </c>
      <c r="B16" s="6">
        <v>290608</v>
      </c>
      <c r="C16" s="6">
        <v>96329</v>
      </c>
      <c r="D16" s="6">
        <v>15310</v>
      </c>
      <c r="E16" s="6">
        <v>81019</v>
      </c>
    </row>
    <row r="17" spans="1:5" ht="15" x14ac:dyDescent="0.25">
      <c r="A17" s="5" t="s">
        <v>17</v>
      </c>
      <c r="B17" s="6">
        <v>291255</v>
      </c>
      <c r="C17" s="6">
        <v>137764</v>
      </c>
      <c r="D17" s="6">
        <v>92239</v>
      </c>
      <c r="E17" s="6">
        <v>45525</v>
      </c>
    </row>
    <row r="18" spans="1:5" ht="15" x14ac:dyDescent="0.25">
      <c r="A18" s="5" t="s">
        <v>18</v>
      </c>
      <c r="B18" s="6">
        <v>5553384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2557687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43360</v>
      </c>
      <c r="C20" s="6">
        <v>5848</v>
      </c>
      <c r="D20" s="6" t="s">
        <v>8</v>
      </c>
      <c r="E20" s="6">
        <v>5848</v>
      </c>
    </row>
    <row r="21" spans="1:5" ht="15" x14ac:dyDescent="0.25">
      <c r="A21" s="5" t="s">
        <v>21</v>
      </c>
      <c r="B21" s="6">
        <v>464169</v>
      </c>
      <c r="C21" s="6">
        <v>187315</v>
      </c>
      <c r="D21" s="6">
        <v>32067</v>
      </c>
      <c r="E21" s="6">
        <v>155248</v>
      </c>
    </row>
    <row r="22" spans="1:5" ht="15" x14ac:dyDescent="0.25">
      <c r="A22" s="5" t="s">
        <v>171</v>
      </c>
      <c r="B22" s="6">
        <v>474535</v>
      </c>
      <c r="C22" s="6">
        <v>144989</v>
      </c>
      <c r="D22" s="6">
        <v>144989</v>
      </c>
      <c r="E22" s="6">
        <v>0</v>
      </c>
    </row>
    <row r="23" spans="1:5" ht="15" x14ac:dyDescent="0.25">
      <c r="A23" s="5" t="s">
        <v>23</v>
      </c>
      <c r="B23" s="6">
        <v>3444334</v>
      </c>
      <c r="C23" s="6">
        <v>1026712</v>
      </c>
      <c r="D23" s="6">
        <v>928479</v>
      </c>
      <c r="E23" s="6">
        <v>98233</v>
      </c>
    </row>
    <row r="24" spans="1:5" ht="15" x14ac:dyDescent="0.25">
      <c r="A24" s="5" t="s">
        <v>24</v>
      </c>
      <c r="B24" s="6">
        <v>2035362</v>
      </c>
      <c r="C24" s="6">
        <v>592958</v>
      </c>
      <c r="D24" s="6">
        <v>592958</v>
      </c>
      <c r="E24" s="6">
        <v>0</v>
      </c>
    </row>
    <row r="25" spans="1:5" ht="15" x14ac:dyDescent="0.25">
      <c r="A25" s="5" t="s">
        <v>25</v>
      </c>
      <c r="B25" s="6">
        <v>791945</v>
      </c>
      <c r="C25" s="6">
        <v>261444</v>
      </c>
      <c r="D25" s="6">
        <v>194320</v>
      </c>
      <c r="E25" s="6">
        <v>67124</v>
      </c>
    </row>
    <row r="26" spans="1:5" ht="15" x14ac:dyDescent="0.25">
      <c r="A26" s="5" t="s">
        <v>26</v>
      </c>
      <c r="B26" s="6">
        <v>467000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1574216</v>
      </c>
      <c r="C27" s="6">
        <v>644520</v>
      </c>
      <c r="D27" s="6">
        <v>644520</v>
      </c>
      <c r="E27" s="6">
        <v>0</v>
      </c>
    </row>
    <row r="28" spans="1:5" ht="15" x14ac:dyDescent="0.25">
      <c r="A28" s="5" t="s">
        <v>28</v>
      </c>
      <c r="B28" s="6">
        <v>2025798</v>
      </c>
      <c r="C28" s="6">
        <v>764825</v>
      </c>
      <c r="D28" s="6">
        <v>764825</v>
      </c>
      <c r="E28" s="6">
        <v>0</v>
      </c>
    </row>
    <row r="29" spans="1:5" ht="15" x14ac:dyDescent="0.25">
      <c r="A29" s="5" t="s">
        <v>29</v>
      </c>
      <c r="B29" s="6">
        <v>398577</v>
      </c>
      <c r="C29" s="6">
        <v>111991</v>
      </c>
      <c r="D29" s="6">
        <v>88650</v>
      </c>
      <c r="E29" s="6">
        <v>23341</v>
      </c>
    </row>
    <row r="30" spans="1:5" ht="15" x14ac:dyDescent="0.25">
      <c r="A30" s="5" t="s">
        <v>30</v>
      </c>
      <c r="B30" s="6">
        <v>1586013</v>
      </c>
      <c r="C30" s="6">
        <v>458235</v>
      </c>
      <c r="D30" s="6">
        <v>458235</v>
      </c>
      <c r="E30" s="6">
        <v>0</v>
      </c>
    </row>
    <row r="31" spans="1:5" ht="15" x14ac:dyDescent="0.25">
      <c r="A31" s="5" t="s">
        <v>31</v>
      </c>
      <c r="B31" s="6">
        <v>2171152</v>
      </c>
      <c r="C31" s="6">
        <v>487368</v>
      </c>
      <c r="D31" s="6">
        <v>0</v>
      </c>
      <c r="E31" s="6">
        <v>487368</v>
      </c>
    </row>
    <row r="32" spans="1:5" ht="15" x14ac:dyDescent="0.25">
      <c r="A32" s="5" t="s">
        <v>32</v>
      </c>
      <c r="B32" s="6">
        <v>3058575</v>
      </c>
      <c r="C32" s="6">
        <v>1055205</v>
      </c>
      <c r="D32" s="6">
        <v>984880</v>
      </c>
      <c r="E32" s="6">
        <v>70325</v>
      </c>
    </row>
    <row r="33" spans="1:5" ht="15" x14ac:dyDescent="0.25">
      <c r="A33" s="5" t="s">
        <v>33</v>
      </c>
      <c r="B33" s="6">
        <v>1383975</v>
      </c>
      <c r="C33" s="6">
        <v>312521</v>
      </c>
      <c r="D33" s="6">
        <v>312521</v>
      </c>
      <c r="E33" s="6">
        <v>0</v>
      </c>
    </row>
    <row r="34" spans="1:5" ht="15" x14ac:dyDescent="0.25">
      <c r="A34" s="5" t="s">
        <v>34</v>
      </c>
      <c r="B34" s="6">
        <v>841159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1433435</v>
      </c>
      <c r="C35" s="6">
        <v>301526</v>
      </c>
      <c r="D35" s="6">
        <v>301526</v>
      </c>
      <c r="E35" s="6">
        <v>0</v>
      </c>
    </row>
    <row r="36" spans="1:5" ht="15" x14ac:dyDescent="0.25">
      <c r="A36" s="5" t="s">
        <v>36</v>
      </c>
      <c r="B36" s="6">
        <v>309887</v>
      </c>
      <c r="C36" s="6">
        <v>122843</v>
      </c>
      <c r="D36" s="6">
        <v>122843</v>
      </c>
      <c r="E36" s="6">
        <v>0</v>
      </c>
    </row>
    <row r="37" spans="1:5" ht="15" x14ac:dyDescent="0.25">
      <c r="A37" s="5" t="s">
        <v>37</v>
      </c>
      <c r="B37" s="6">
        <v>22271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390903</v>
      </c>
      <c r="C38" s="6">
        <v>80631</v>
      </c>
      <c r="D38" s="6">
        <v>78900</v>
      </c>
      <c r="E38" s="6">
        <v>1731</v>
      </c>
    </row>
    <row r="39" spans="1:5" ht="15" x14ac:dyDescent="0.25">
      <c r="A39" s="5" t="s">
        <v>39</v>
      </c>
      <c r="B39" s="6">
        <v>826305</v>
      </c>
      <c r="C39" s="6">
        <v>359216</v>
      </c>
      <c r="D39" s="6">
        <v>359216</v>
      </c>
      <c r="E39" s="6">
        <v>0</v>
      </c>
    </row>
    <row r="40" spans="1:5" ht="15" x14ac:dyDescent="0.25">
      <c r="A40" s="5" t="s">
        <v>40</v>
      </c>
      <c r="B40" s="6">
        <v>237078</v>
      </c>
      <c r="C40" s="6">
        <v>95375</v>
      </c>
      <c r="D40" s="6">
        <v>94881</v>
      </c>
      <c r="E40" s="6">
        <v>494</v>
      </c>
    </row>
    <row r="41" spans="1:5" ht="15" x14ac:dyDescent="0.25">
      <c r="A41" s="5" t="s">
        <v>41</v>
      </c>
      <c r="B41" s="6">
        <v>2077571</v>
      </c>
      <c r="C41" s="6">
        <v>758918</v>
      </c>
      <c r="D41" s="6">
        <v>758918</v>
      </c>
      <c r="E41" s="6">
        <v>0</v>
      </c>
    </row>
    <row r="42" spans="1:5" ht="15" x14ac:dyDescent="0.25">
      <c r="A42" s="5" t="s">
        <v>42</v>
      </c>
      <c r="B42" s="6">
        <v>986088</v>
      </c>
      <c r="C42" s="6">
        <v>294897</v>
      </c>
      <c r="D42" s="6">
        <v>294897</v>
      </c>
      <c r="E42" s="6">
        <v>0</v>
      </c>
    </row>
    <row r="43" spans="1:5" ht="15" x14ac:dyDescent="0.25">
      <c r="A43" s="5" t="s">
        <v>43</v>
      </c>
      <c r="B43" s="6">
        <v>7727306</v>
      </c>
      <c r="C43" s="6">
        <v>2555297</v>
      </c>
      <c r="D43" s="6">
        <v>437006</v>
      </c>
      <c r="E43" s="6">
        <v>2118291</v>
      </c>
    </row>
    <row r="44" spans="1:5" ht="15" x14ac:dyDescent="0.25">
      <c r="A44" s="5" t="s">
        <v>44</v>
      </c>
      <c r="B44" s="6">
        <v>2908350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131553</v>
      </c>
      <c r="C45" s="6">
        <v>35948</v>
      </c>
      <c r="D45" s="6">
        <v>34194</v>
      </c>
      <c r="E45" s="6">
        <v>1754</v>
      </c>
    </row>
    <row r="46" spans="1:5" ht="15" x14ac:dyDescent="0.25">
      <c r="A46" s="5" t="s">
        <v>46</v>
      </c>
      <c r="B46" s="6">
        <v>3562957</v>
      </c>
      <c r="C46" s="6">
        <v>867388</v>
      </c>
      <c r="D46" s="6">
        <v>867138</v>
      </c>
      <c r="E46" s="6">
        <v>250</v>
      </c>
    </row>
    <row r="47" spans="1:5" ht="15" x14ac:dyDescent="0.25">
      <c r="A47" s="5" t="s">
        <v>47</v>
      </c>
      <c r="B47" s="6">
        <v>1215151</v>
      </c>
      <c r="C47" s="6">
        <v>358325</v>
      </c>
      <c r="D47" s="6">
        <v>358325</v>
      </c>
      <c r="E47" s="6">
        <v>0</v>
      </c>
    </row>
    <row r="48" spans="1:5" ht="15" x14ac:dyDescent="0.25">
      <c r="A48" s="5" t="s">
        <v>48</v>
      </c>
      <c r="B48" s="6">
        <v>1298321</v>
      </c>
      <c r="C48" s="6">
        <v>726463</v>
      </c>
      <c r="D48" s="6">
        <v>618238</v>
      </c>
      <c r="E48" s="6">
        <v>108225</v>
      </c>
    </row>
    <row r="49" spans="1:5" ht="15" x14ac:dyDescent="0.25">
      <c r="A49" s="5" t="s">
        <v>49</v>
      </c>
      <c r="B49" s="6">
        <v>3633831</v>
      </c>
      <c r="C49" s="6">
        <v>1169127</v>
      </c>
      <c r="D49" s="6">
        <v>1102296</v>
      </c>
      <c r="E49" s="6">
        <v>66831</v>
      </c>
    </row>
    <row r="50" spans="1:5" ht="15" x14ac:dyDescent="0.25">
      <c r="A50" s="5" t="s">
        <v>50</v>
      </c>
      <c r="B50" s="6">
        <v>1495522</v>
      </c>
      <c r="C50" s="6">
        <v>683074</v>
      </c>
      <c r="D50" s="6" t="s">
        <v>8</v>
      </c>
      <c r="E50" s="6">
        <v>683074</v>
      </c>
    </row>
    <row r="51" spans="1:5" ht="15" x14ac:dyDescent="0.25">
      <c r="A51" s="5" t="s">
        <v>51</v>
      </c>
      <c r="B51" s="6">
        <v>342042</v>
      </c>
      <c r="C51" s="6">
        <v>93294</v>
      </c>
      <c r="D51" s="6">
        <v>93294</v>
      </c>
      <c r="E51" s="6">
        <v>0</v>
      </c>
    </row>
    <row r="52" spans="1:5" ht="15" x14ac:dyDescent="0.25">
      <c r="A52" s="5" t="s">
        <v>52</v>
      </c>
      <c r="B52" s="6">
        <v>1592735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135526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1861024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6083608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521568</v>
      </c>
      <c r="C56" s="6">
        <v>140940</v>
      </c>
      <c r="D56" s="6">
        <v>139948</v>
      </c>
      <c r="E56" s="6">
        <v>992</v>
      </c>
    </row>
    <row r="57" spans="1:5" ht="15" x14ac:dyDescent="0.25">
      <c r="A57" s="5" t="s">
        <v>57</v>
      </c>
      <c r="B57" s="6">
        <v>202274</v>
      </c>
      <c r="C57" s="6">
        <v>89296</v>
      </c>
      <c r="D57" s="6">
        <v>0</v>
      </c>
      <c r="E57" s="6">
        <v>89296</v>
      </c>
    </row>
    <row r="58" spans="1:5" ht="15" x14ac:dyDescent="0.25">
      <c r="A58" s="5" t="s">
        <v>58</v>
      </c>
      <c r="B58" s="6">
        <v>37752</v>
      </c>
      <c r="C58" s="6">
        <v>18578</v>
      </c>
      <c r="D58" s="6" t="s">
        <v>8</v>
      </c>
      <c r="E58" s="6">
        <v>18578</v>
      </c>
    </row>
    <row r="59" spans="1:5" ht="15" x14ac:dyDescent="0.25">
      <c r="A59" s="5" t="s">
        <v>59</v>
      </c>
      <c r="B59" s="6">
        <v>1932687</v>
      </c>
      <c r="C59" s="6">
        <v>710540</v>
      </c>
      <c r="D59" s="6">
        <v>710540</v>
      </c>
      <c r="E59" s="6">
        <v>0</v>
      </c>
    </row>
    <row r="60" spans="1:5" ht="15" x14ac:dyDescent="0.25">
      <c r="A60" s="5" t="s">
        <v>60</v>
      </c>
      <c r="B60" s="6">
        <v>2172053</v>
      </c>
      <c r="C60" s="6">
        <v>842584</v>
      </c>
      <c r="D60" s="6">
        <v>822760</v>
      </c>
      <c r="E60" s="6">
        <v>19824</v>
      </c>
    </row>
    <row r="61" spans="1:5" ht="15" x14ac:dyDescent="0.25">
      <c r="A61" s="5" t="s">
        <v>61</v>
      </c>
      <c r="B61" s="6">
        <v>660216</v>
      </c>
      <c r="C61" s="6">
        <v>244858</v>
      </c>
      <c r="D61" s="6">
        <v>244858</v>
      </c>
      <c r="E61" s="6">
        <v>0</v>
      </c>
    </row>
    <row r="62" spans="1:5" ht="15" x14ac:dyDescent="0.25">
      <c r="A62" s="5" t="s">
        <v>62</v>
      </c>
      <c r="B62" s="6">
        <v>1559111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86196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97814451</v>
      </c>
      <c r="C64" s="8">
        <f>SUM(C8:C63)</f>
        <v>24052258</v>
      </c>
      <c r="D64" s="8">
        <f>SUM(D8:D63)</f>
        <v>19283357</v>
      </c>
      <c r="E64" s="8">
        <f>SUM(E8:E63)</f>
        <v>4768901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April 11, 2024 8:39 AM&amp;R&amp;"-,Regular"&amp;7Page : &amp;"-,Regular"&amp;7&amp;P&amp;"-,Regular"&amp;7 of &amp;"-,Regular"&amp;7&amp;N</oddFooter>
    <evenFooter>&amp;L&amp;"-,Regular"&amp;7Created On: Thursday, April 11, 2024 8:39 AM&amp;R&amp;"-,Regular"&amp;7Page : &amp;"-,Regular"&amp;7&amp;P&amp;"-,Regular"&amp;7 of &amp;"-,Regular"&amp;7&amp;N</evenFooter>
    <firstFooter>&amp;L&amp;"-,Regular"&amp;7Created On: Thursday, April 11, 2024 8:39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522A-C435-49F8-8819-A83CD0066895}">
  <sheetPr>
    <pageSetUpPr fitToPage="1"/>
  </sheetPr>
  <dimension ref="A1:E89"/>
  <sheetViews>
    <sheetView workbookViewId="0">
      <pane ySplit="7" topLeftCell="A63" activePane="bottomLeft" state="frozenSplit"/>
      <selection activeCell="N87" sqref="N87"/>
      <selection pane="bottomLeft" activeCell="N87" sqref="N87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177</v>
      </c>
      <c r="B2" s="2"/>
      <c r="C2" s="2"/>
      <c r="D2" s="2"/>
      <c r="E2" s="2"/>
    </row>
    <row r="3" spans="1:5" ht="15" x14ac:dyDescent="0.25">
      <c r="A3" s="2" t="s">
        <v>176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1332972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259089</v>
      </c>
      <c r="C9" s="6">
        <v>74196</v>
      </c>
      <c r="D9" s="6">
        <v>74195</v>
      </c>
      <c r="E9" s="6">
        <v>1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2439508</v>
      </c>
      <c r="C11" s="6">
        <v>736011</v>
      </c>
      <c r="D11" s="6">
        <v>194990</v>
      </c>
      <c r="E11" s="6">
        <v>541021</v>
      </c>
    </row>
    <row r="12" spans="1:5" ht="15" x14ac:dyDescent="0.25">
      <c r="A12" s="5" t="s">
        <v>12</v>
      </c>
      <c r="B12" s="6">
        <v>1106404</v>
      </c>
      <c r="C12" s="6">
        <v>357396</v>
      </c>
      <c r="D12" s="6">
        <v>334700</v>
      </c>
      <c r="E12" s="6">
        <v>22696</v>
      </c>
    </row>
    <row r="13" spans="1:5" ht="15" x14ac:dyDescent="0.25">
      <c r="A13" s="5" t="s">
        <v>13</v>
      </c>
      <c r="B13" s="6">
        <v>15148920</v>
      </c>
      <c r="C13" s="6">
        <v>5162450</v>
      </c>
      <c r="D13" s="6">
        <v>5131406</v>
      </c>
      <c r="E13" s="6">
        <v>31044</v>
      </c>
    </row>
    <row r="14" spans="1:5" ht="15" x14ac:dyDescent="0.25">
      <c r="A14" s="5" t="s">
        <v>14</v>
      </c>
      <c r="B14" s="6">
        <v>1700185</v>
      </c>
      <c r="C14" s="6">
        <v>626758</v>
      </c>
      <c r="D14" s="6">
        <v>615128</v>
      </c>
      <c r="E14" s="6">
        <v>11630</v>
      </c>
    </row>
    <row r="15" spans="1:5" ht="15" x14ac:dyDescent="0.25">
      <c r="A15" s="5" t="s">
        <v>15</v>
      </c>
      <c r="B15" s="6">
        <v>1178077</v>
      </c>
      <c r="C15" s="6">
        <v>376648</v>
      </c>
      <c r="D15" s="6">
        <v>344611</v>
      </c>
      <c r="E15" s="6">
        <v>32037</v>
      </c>
    </row>
    <row r="16" spans="1:5" ht="15" x14ac:dyDescent="0.25">
      <c r="A16" s="5" t="s">
        <v>16</v>
      </c>
      <c r="B16" s="6">
        <v>291066</v>
      </c>
      <c r="C16" s="6">
        <v>97798</v>
      </c>
      <c r="D16" s="6">
        <v>15794</v>
      </c>
      <c r="E16" s="6">
        <v>82004</v>
      </c>
    </row>
    <row r="17" spans="1:5" ht="15" x14ac:dyDescent="0.25">
      <c r="A17" s="5" t="s">
        <v>17</v>
      </c>
      <c r="B17" s="6">
        <v>292549</v>
      </c>
      <c r="C17" s="6">
        <v>138745</v>
      </c>
      <c r="D17" s="6">
        <v>93122</v>
      </c>
      <c r="E17" s="6">
        <v>45623</v>
      </c>
    </row>
    <row r="18" spans="1:5" ht="15" x14ac:dyDescent="0.25">
      <c r="A18" s="5" t="s">
        <v>18</v>
      </c>
      <c r="B18" s="6">
        <v>5688171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2566064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44424</v>
      </c>
      <c r="C20" s="6">
        <v>6082</v>
      </c>
      <c r="D20" s="6" t="s">
        <v>8</v>
      </c>
      <c r="E20" s="6">
        <v>6082</v>
      </c>
    </row>
    <row r="21" spans="1:5" ht="15" x14ac:dyDescent="0.25">
      <c r="A21" s="5" t="s">
        <v>21</v>
      </c>
      <c r="B21" s="6">
        <v>466870</v>
      </c>
      <c r="C21" s="6">
        <v>188801</v>
      </c>
      <c r="D21" s="6">
        <v>32270</v>
      </c>
      <c r="E21" s="6">
        <v>156531</v>
      </c>
    </row>
    <row r="22" spans="1:5" ht="15" x14ac:dyDescent="0.25">
      <c r="A22" s="5" t="s">
        <v>22</v>
      </c>
      <c r="B22" s="6">
        <v>480732</v>
      </c>
      <c r="C22" s="6">
        <v>148190</v>
      </c>
      <c r="D22" s="6">
        <v>148190</v>
      </c>
      <c r="E22" s="6">
        <v>0</v>
      </c>
    </row>
    <row r="23" spans="1:5" ht="15" x14ac:dyDescent="0.25">
      <c r="A23" s="5" t="s">
        <v>23</v>
      </c>
      <c r="B23" s="6">
        <v>3460404</v>
      </c>
      <c r="C23" s="6">
        <v>1032208</v>
      </c>
      <c r="D23" s="6">
        <v>934670</v>
      </c>
      <c r="E23" s="6">
        <v>97538</v>
      </c>
    </row>
    <row r="24" spans="1:5" ht="15" x14ac:dyDescent="0.25">
      <c r="A24" s="5" t="s">
        <v>24</v>
      </c>
      <c r="B24" s="6">
        <v>2074285</v>
      </c>
      <c r="C24" s="6">
        <v>606236</v>
      </c>
      <c r="D24" s="6">
        <v>606236</v>
      </c>
      <c r="E24" s="6">
        <v>0</v>
      </c>
    </row>
    <row r="25" spans="1:5" ht="15" x14ac:dyDescent="0.25">
      <c r="A25" s="5" t="s">
        <v>25</v>
      </c>
      <c r="B25" s="6">
        <v>799361</v>
      </c>
      <c r="C25" s="6">
        <v>265525</v>
      </c>
      <c r="D25" s="6">
        <v>196666</v>
      </c>
      <c r="E25" s="6">
        <v>68859</v>
      </c>
    </row>
    <row r="26" spans="1:5" ht="15" x14ac:dyDescent="0.25">
      <c r="A26" s="5" t="s">
        <v>26</v>
      </c>
      <c r="B26" s="6">
        <v>468918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1579195</v>
      </c>
      <c r="C27" s="6">
        <v>651674</v>
      </c>
      <c r="D27" s="6">
        <v>651674</v>
      </c>
      <c r="E27" s="6">
        <v>0</v>
      </c>
    </row>
    <row r="28" spans="1:5" ht="15" x14ac:dyDescent="0.25">
      <c r="A28" s="5" t="s">
        <v>28</v>
      </c>
      <c r="B28" s="6">
        <v>1886359</v>
      </c>
      <c r="C28" s="6">
        <v>771527</v>
      </c>
      <c r="D28" s="6">
        <v>771527</v>
      </c>
      <c r="E28" s="6">
        <v>0</v>
      </c>
    </row>
    <row r="29" spans="1:5" ht="15" x14ac:dyDescent="0.25">
      <c r="A29" s="5" t="s">
        <v>29</v>
      </c>
      <c r="B29" s="6">
        <v>401159</v>
      </c>
      <c r="C29" s="6">
        <v>113307</v>
      </c>
      <c r="D29" s="6">
        <v>89754</v>
      </c>
      <c r="E29" s="6">
        <v>23553</v>
      </c>
    </row>
    <row r="30" spans="1:5" ht="15" x14ac:dyDescent="0.25">
      <c r="A30" s="5" t="s">
        <v>30</v>
      </c>
      <c r="B30" s="6">
        <v>1595529</v>
      </c>
      <c r="C30" s="6">
        <v>461440</v>
      </c>
      <c r="D30" s="6">
        <v>461440</v>
      </c>
      <c r="E30" s="6">
        <v>0</v>
      </c>
    </row>
    <row r="31" spans="1:5" ht="15" x14ac:dyDescent="0.25">
      <c r="A31" s="5" t="s">
        <v>31</v>
      </c>
      <c r="B31" s="6">
        <v>2193464</v>
      </c>
      <c r="C31" s="6">
        <v>491336</v>
      </c>
      <c r="D31" s="6">
        <v>0</v>
      </c>
      <c r="E31" s="6">
        <v>491336</v>
      </c>
    </row>
    <row r="32" spans="1:5" ht="15" x14ac:dyDescent="0.25">
      <c r="A32" s="5" t="s">
        <v>32</v>
      </c>
      <c r="B32" s="6">
        <v>3072419</v>
      </c>
      <c r="C32" s="6">
        <v>1064511</v>
      </c>
      <c r="D32" s="6">
        <v>992865</v>
      </c>
      <c r="E32" s="6">
        <v>71646</v>
      </c>
    </row>
    <row r="33" spans="1:5" ht="15" x14ac:dyDescent="0.25">
      <c r="A33" s="5" t="s">
        <v>33</v>
      </c>
      <c r="B33" s="6">
        <v>1403235</v>
      </c>
      <c r="C33" s="6">
        <v>317524</v>
      </c>
      <c r="D33" s="6">
        <v>317524</v>
      </c>
      <c r="E33" s="6">
        <v>0</v>
      </c>
    </row>
    <row r="34" spans="1:5" ht="15" x14ac:dyDescent="0.25">
      <c r="A34" s="5" t="s">
        <v>34</v>
      </c>
      <c r="B34" s="6">
        <v>846264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1454677</v>
      </c>
      <c r="C35" s="6">
        <v>311809</v>
      </c>
      <c r="D35" s="6">
        <v>311809</v>
      </c>
      <c r="E35" s="6">
        <v>0</v>
      </c>
    </row>
    <row r="36" spans="1:5" ht="15" x14ac:dyDescent="0.25">
      <c r="A36" s="5" t="s">
        <v>36</v>
      </c>
      <c r="B36" s="6">
        <v>311945</v>
      </c>
      <c r="C36" s="6">
        <v>123889</v>
      </c>
      <c r="D36" s="6">
        <v>123889</v>
      </c>
      <c r="E36" s="6">
        <v>0</v>
      </c>
    </row>
    <row r="37" spans="1:5" ht="15" x14ac:dyDescent="0.25">
      <c r="A37" s="5" t="s">
        <v>37</v>
      </c>
      <c r="B37" s="6">
        <v>18738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393413</v>
      </c>
      <c r="C38" s="6">
        <v>82259</v>
      </c>
      <c r="D38" s="6">
        <v>80521</v>
      </c>
      <c r="E38" s="6">
        <v>1738</v>
      </c>
    </row>
    <row r="39" spans="1:5" ht="15" x14ac:dyDescent="0.25">
      <c r="A39" s="5" t="s">
        <v>39</v>
      </c>
      <c r="B39" s="6">
        <v>829878</v>
      </c>
      <c r="C39" s="6">
        <v>365125</v>
      </c>
      <c r="D39" s="6">
        <v>365125</v>
      </c>
      <c r="E39" s="6">
        <v>0</v>
      </c>
    </row>
    <row r="40" spans="1:5" ht="15" x14ac:dyDescent="0.25">
      <c r="A40" s="5" t="s">
        <v>40</v>
      </c>
      <c r="B40" s="6">
        <v>237805</v>
      </c>
      <c r="C40" s="6">
        <v>96286</v>
      </c>
      <c r="D40" s="6">
        <v>95804</v>
      </c>
      <c r="E40" s="6">
        <v>482</v>
      </c>
    </row>
    <row r="41" spans="1:5" ht="15" x14ac:dyDescent="0.25">
      <c r="A41" s="5" t="s">
        <v>41</v>
      </c>
      <c r="B41" s="6">
        <v>2100461</v>
      </c>
      <c r="C41" s="6">
        <v>766741</v>
      </c>
      <c r="D41" s="6">
        <v>766741</v>
      </c>
      <c r="E41" s="6">
        <v>0</v>
      </c>
    </row>
    <row r="42" spans="1:5" ht="15" x14ac:dyDescent="0.25">
      <c r="A42" s="5" t="s">
        <v>42</v>
      </c>
      <c r="B42" s="6">
        <v>993227</v>
      </c>
      <c r="C42" s="6">
        <v>296663</v>
      </c>
      <c r="D42" s="6">
        <v>296663</v>
      </c>
      <c r="E42" s="6">
        <v>0</v>
      </c>
    </row>
    <row r="43" spans="1:5" ht="15" x14ac:dyDescent="0.25">
      <c r="A43" s="5" t="s">
        <v>43</v>
      </c>
      <c r="B43" s="6">
        <v>7817979</v>
      </c>
      <c r="C43" s="6">
        <v>2564321</v>
      </c>
      <c r="D43" s="6">
        <v>439644</v>
      </c>
      <c r="E43" s="6">
        <v>2124677</v>
      </c>
    </row>
    <row r="44" spans="1:5" ht="15" x14ac:dyDescent="0.25">
      <c r="A44" s="5" t="s">
        <v>44</v>
      </c>
      <c r="B44" s="6">
        <v>2929613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132782</v>
      </c>
      <c r="C45" s="6">
        <v>36419</v>
      </c>
      <c r="D45" s="6">
        <v>34646</v>
      </c>
      <c r="E45" s="6">
        <v>1773</v>
      </c>
    </row>
    <row r="46" spans="1:5" ht="15" x14ac:dyDescent="0.25">
      <c r="A46" s="5" t="s">
        <v>46</v>
      </c>
      <c r="B46" s="6">
        <v>3612310</v>
      </c>
      <c r="C46" s="6">
        <v>899844</v>
      </c>
      <c r="D46" s="6">
        <v>899559</v>
      </c>
      <c r="E46" s="6">
        <v>285</v>
      </c>
    </row>
    <row r="47" spans="1:5" ht="15" x14ac:dyDescent="0.25">
      <c r="A47" s="5" t="s">
        <v>47</v>
      </c>
      <c r="B47" s="6">
        <v>1248449</v>
      </c>
      <c r="C47" s="6">
        <v>366794</v>
      </c>
      <c r="D47" s="6">
        <v>366794</v>
      </c>
      <c r="E47" s="6">
        <v>0</v>
      </c>
    </row>
    <row r="48" spans="1:5" ht="15" x14ac:dyDescent="0.25">
      <c r="A48" s="5" t="s">
        <v>48</v>
      </c>
      <c r="B48" s="6">
        <v>1313332</v>
      </c>
      <c r="C48" s="6">
        <v>737573</v>
      </c>
      <c r="D48" s="6">
        <v>627800</v>
      </c>
      <c r="E48" s="6">
        <v>109773</v>
      </c>
    </row>
    <row r="49" spans="1:5" ht="15" x14ac:dyDescent="0.25">
      <c r="A49" s="5" t="s">
        <v>49</v>
      </c>
      <c r="B49" s="6">
        <v>3657933</v>
      </c>
      <c r="C49" s="6">
        <v>1181269</v>
      </c>
      <c r="D49" s="6">
        <v>1113511</v>
      </c>
      <c r="E49" s="6">
        <v>67758</v>
      </c>
    </row>
    <row r="50" spans="1:5" ht="15" x14ac:dyDescent="0.25">
      <c r="A50" s="5" t="s">
        <v>50</v>
      </c>
      <c r="B50" s="6">
        <v>1499520</v>
      </c>
      <c r="C50" s="6">
        <v>685304</v>
      </c>
      <c r="D50" s="6" t="s">
        <v>8</v>
      </c>
      <c r="E50" s="6">
        <v>685304</v>
      </c>
    </row>
    <row r="51" spans="1:5" ht="15" x14ac:dyDescent="0.25">
      <c r="A51" s="5" t="s">
        <v>51</v>
      </c>
      <c r="B51" s="6">
        <v>357183</v>
      </c>
      <c r="C51" s="6">
        <v>101349</v>
      </c>
      <c r="D51" s="6">
        <v>101349</v>
      </c>
      <c r="E51" s="6">
        <v>0</v>
      </c>
    </row>
    <row r="52" spans="1:5" ht="15" x14ac:dyDescent="0.25">
      <c r="A52" s="5" t="s">
        <v>52</v>
      </c>
      <c r="B52" s="6">
        <v>1591624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136413</v>
      </c>
      <c r="C53" s="6">
        <v>0</v>
      </c>
      <c r="D53" s="6">
        <v>0</v>
      </c>
      <c r="E53" s="6">
        <v>0</v>
      </c>
    </row>
    <row r="54" spans="1:5" ht="15" x14ac:dyDescent="0.25">
      <c r="A54" s="5" t="s">
        <v>54</v>
      </c>
      <c r="B54" s="6">
        <v>1874933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6126031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524617</v>
      </c>
      <c r="C56" s="6">
        <v>143503</v>
      </c>
      <c r="D56" s="6">
        <v>142534</v>
      </c>
      <c r="E56" s="6">
        <v>969</v>
      </c>
    </row>
    <row r="57" spans="1:5" ht="15" x14ac:dyDescent="0.25">
      <c r="A57" s="5" t="s">
        <v>57</v>
      </c>
      <c r="B57" s="6">
        <v>202997</v>
      </c>
      <c r="C57" s="6">
        <v>89701</v>
      </c>
      <c r="D57" s="6">
        <v>0</v>
      </c>
      <c r="E57" s="6">
        <v>89701</v>
      </c>
    </row>
    <row r="58" spans="1:5" ht="15" x14ac:dyDescent="0.25">
      <c r="A58" s="5" t="s">
        <v>58</v>
      </c>
      <c r="B58" s="6">
        <v>37921</v>
      </c>
      <c r="C58" s="6">
        <v>18740</v>
      </c>
      <c r="D58" s="6" t="s">
        <v>8</v>
      </c>
      <c r="E58" s="6">
        <v>18740</v>
      </c>
    </row>
    <row r="59" spans="1:5" ht="15" x14ac:dyDescent="0.25">
      <c r="A59" s="5" t="s">
        <v>59</v>
      </c>
      <c r="B59" s="6">
        <v>1952398</v>
      </c>
      <c r="C59" s="6">
        <v>724084</v>
      </c>
      <c r="D59" s="6">
        <v>724084</v>
      </c>
      <c r="E59" s="6">
        <v>0</v>
      </c>
    </row>
    <row r="60" spans="1:5" ht="15" x14ac:dyDescent="0.25">
      <c r="A60" s="5" t="s">
        <v>60</v>
      </c>
      <c r="B60" s="6">
        <v>2181715</v>
      </c>
      <c r="C60" s="6">
        <v>847817</v>
      </c>
      <c r="D60" s="6">
        <v>827090</v>
      </c>
      <c r="E60" s="6">
        <v>20727</v>
      </c>
    </row>
    <row r="61" spans="1:5" ht="15" x14ac:dyDescent="0.25">
      <c r="A61" s="5" t="s">
        <v>61</v>
      </c>
      <c r="B61" s="6">
        <v>663643</v>
      </c>
      <c r="C61" s="6">
        <v>247050</v>
      </c>
      <c r="D61" s="6">
        <v>247050</v>
      </c>
      <c r="E61" s="6">
        <v>0</v>
      </c>
    </row>
    <row r="62" spans="1:5" ht="15" x14ac:dyDescent="0.25">
      <c r="A62" s="5" t="s">
        <v>62</v>
      </c>
      <c r="B62" s="6">
        <v>1645391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87188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98743626</v>
      </c>
      <c r="C64" s="8">
        <f>SUM(C8:C63)</f>
        <v>24374903</v>
      </c>
      <c r="D64" s="8">
        <f>SUM(D8:D63)</f>
        <v>19571375</v>
      </c>
      <c r="E64" s="8">
        <f>SUM(E8:E63)</f>
        <v>4803528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August 21, 2024 11:47 AM&amp;R&amp;"-,Regular"&amp;7Page : &amp;"-,Regular"&amp;7&amp;P&amp;"-,Regular"&amp;7 of &amp;"-,Regular"&amp;7&amp;N</oddFooter>
    <evenFooter>&amp;L&amp;"-,Regular"&amp;7Created On: Wednesday, August 21, 2024 11:47 AM&amp;R&amp;"-,Regular"&amp;7Page : &amp;"-,Regular"&amp;7&amp;P&amp;"-,Regular"&amp;7 of &amp;"-,Regular"&amp;7&amp;N</evenFooter>
    <firstFooter>&amp;L&amp;"-,Regular"&amp;7Created On: Wednesday, August 21, 2024 11:47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2EEF-A47F-4164-AD04-0A1439A3B0D2}">
  <sheetPr>
    <pageSetUpPr fitToPage="1"/>
  </sheetPr>
  <dimension ref="A1:E89"/>
  <sheetViews>
    <sheetView workbookViewId="0">
      <pane ySplit="7" topLeftCell="A63" activePane="bottomLeft" state="frozenSplit"/>
      <selection activeCell="N87" sqref="N87"/>
      <selection pane="bottomLeft" activeCell="N87" sqref="N87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178</v>
      </c>
      <c r="B2" s="2"/>
      <c r="C2" s="2"/>
      <c r="D2" s="2"/>
      <c r="E2" s="2"/>
    </row>
    <row r="3" spans="1:5" ht="15" x14ac:dyDescent="0.25">
      <c r="A3" s="2" t="s">
        <v>176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1351697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259472</v>
      </c>
      <c r="C9" s="6">
        <v>74388</v>
      </c>
      <c r="D9" s="6">
        <v>74387</v>
      </c>
      <c r="E9" s="6">
        <v>1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2449887</v>
      </c>
      <c r="C11" s="6">
        <v>742200</v>
      </c>
      <c r="D11" s="6">
        <v>194773</v>
      </c>
      <c r="E11" s="6">
        <v>547427</v>
      </c>
    </row>
    <row r="12" spans="1:5" ht="15" x14ac:dyDescent="0.25">
      <c r="A12" s="5" t="s">
        <v>12</v>
      </c>
      <c r="B12" s="6">
        <v>1076697</v>
      </c>
      <c r="C12" s="6">
        <v>347082</v>
      </c>
      <c r="D12" s="6">
        <v>326106</v>
      </c>
      <c r="E12" s="6">
        <v>20976</v>
      </c>
    </row>
    <row r="13" spans="1:5" ht="15" x14ac:dyDescent="0.25">
      <c r="A13" s="5" t="s">
        <v>13</v>
      </c>
      <c r="B13" s="6">
        <v>15176093</v>
      </c>
      <c r="C13" s="6">
        <v>5191852</v>
      </c>
      <c r="D13" s="6">
        <v>5160512</v>
      </c>
      <c r="E13" s="6">
        <v>31340</v>
      </c>
    </row>
    <row r="14" spans="1:5" ht="15" x14ac:dyDescent="0.25">
      <c r="A14" s="5" t="s">
        <v>14</v>
      </c>
      <c r="B14" s="6">
        <v>1710325</v>
      </c>
      <c r="C14" s="6">
        <v>631400</v>
      </c>
      <c r="D14" s="6">
        <v>619801</v>
      </c>
      <c r="E14" s="6">
        <v>11599</v>
      </c>
    </row>
    <row r="15" spans="1:5" ht="15" x14ac:dyDescent="0.25">
      <c r="A15" s="5" t="s">
        <v>15</v>
      </c>
      <c r="B15" s="6">
        <v>1175973</v>
      </c>
      <c r="C15" s="6">
        <v>376455</v>
      </c>
      <c r="D15" s="6">
        <v>344402</v>
      </c>
      <c r="E15" s="6">
        <v>32053</v>
      </c>
    </row>
    <row r="16" spans="1:5" ht="15" x14ac:dyDescent="0.25">
      <c r="A16" s="5" t="s">
        <v>16</v>
      </c>
      <c r="B16" s="6">
        <v>293090</v>
      </c>
      <c r="C16" s="6">
        <v>98854</v>
      </c>
      <c r="D16" s="6">
        <v>16053</v>
      </c>
      <c r="E16" s="6">
        <v>82801</v>
      </c>
    </row>
    <row r="17" spans="1:5" ht="15" x14ac:dyDescent="0.25">
      <c r="A17" s="5" t="s">
        <v>17</v>
      </c>
      <c r="B17" s="6">
        <v>293203</v>
      </c>
      <c r="C17" s="6">
        <v>139160</v>
      </c>
      <c r="D17" s="6">
        <v>93418</v>
      </c>
      <c r="E17" s="6">
        <v>45742</v>
      </c>
    </row>
    <row r="18" spans="1:5" ht="15" x14ac:dyDescent="0.25">
      <c r="A18" s="5" t="s">
        <v>18</v>
      </c>
      <c r="B18" s="6">
        <v>5725447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2566078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44448</v>
      </c>
      <c r="C20" s="6">
        <v>6090</v>
      </c>
      <c r="D20" s="6" t="s">
        <v>8</v>
      </c>
      <c r="E20" s="6">
        <v>6090</v>
      </c>
    </row>
    <row r="21" spans="1:5" ht="15" x14ac:dyDescent="0.25">
      <c r="A21" s="5" t="s">
        <v>21</v>
      </c>
      <c r="B21" s="6">
        <v>468525</v>
      </c>
      <c r="C21" s="6">
        <v>189797</v>
      </c>
      <c r="D21" s="6">
        <v>32412</v>
      </c>
      <c r="E21" s="6">
        <v>157385</v>
      </c>
    </row>
    <row r="22" spans="1:5" ht="15" x14ac:dyDescent="0.25">
      <c r="A22" s="5" t="s">
        <v>22</v>
      </c>
      <c r="B22" s="6">
        <v>482050</v>
      </c>
      <c r="C22" s="6">
        <v>149235</v>
      </c>
      <c r="D22" s="6">
        <v>149235</v>
      </c>
      <c r="E22" s="6">
        <v>0</v>
      </c>
    </row>
    <row r="23" spans="1:5" ht="15" x14ac:dyDescent="0.25">
      <c r="A23" s="5" t="s">
        <v>23</v>
      </c>
      <c r="B23" s="6">
        <v>3472577</v>
      </c>
      <c r="C23" s="6">
        <v>1035645</v>
      </c>
      <c r="D23" s="6">
        <v>938888</v>
      </c>
      <c r="E23" s="6">
        <v>96757</v>
      </c>
    </row>
    <row r="24" spans="1:5" ht="15" x14ac:dyDescent="0.25">
      <c r="A24" s="5" t="s">
        <v>24</v>
      </c>
      <c r="B24" s="6">
        <v>2079476</v>
      </c>
      <c r="C24" s="6">
        <v>611849</v>
      </c>
      <c r="D24" s="6">
        <v>611849</v>
      </c>
      <c r="E24" s="6">
        <v>0</v>
      </c>
    </row>
    <row r="25" spans="1:5" ht="15" x14ac:dyDescent="0.25">
      <c r="A25" s="5" t="s">
        <v>25</v>
      </c>
      <c r="B25" s="6">
        <v>805005</v>
      </c>
      <c r="C25" s="6">
        <v>267960</v>
      </c>
      <c r="D25" s="6">
        <v>197970</v>
      </c>
      <c r="E25" s="6">
        <v>69990</v>
      </c>
    </row>
    <row r="26" spans="1:5" ht="15" x14ac:dyDescent="0.25">
      <c r="A26" s="5" t="s">
        <v>26</v>
      </c>
      <c r="B26" s="6">
        <v>473023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1585978</v>
      </c>
      <c r="C27" s="6">
        <v>655783</v>
      </c>
      <c r="D27" s="6">
        <v>655783</v>
      </c>
      <c r="E27" s="6">
        <v>0</v>
      </c>
    </row>
    <row r="28" spans="1:5" ht="15" x14ac:dyDescent="0.25">
      <c r="A28" s="5" t="s">
        <v>28</v>
      </c>
      <c r="B28" s="6">
        <v>1889449</v>
      </c>
      <c r="C28" s="6">
        <v>774303</v>
      </c>
      <c r="D28" s="6">
        <v>774303</v>
      </c>
      <c r="E28" s="6">
        <v>0</v>
      </c>
    </row>
    <row r="29" spans="1:5" ht="15" x14ac:dyDescent="0.25">
      <c r="A29" s="5" t="s">
        <v>29</v>
      </c>
      <c r="B29" s="6">
        <v>403260</v>
      </c>
      <c r="C29" s="6">
        <v>114338</v>
      </c>
      <c r="D29" s="6">
        <v>90640</v>
      </c>
      <c r="E29" s="6">
        <v>23698</v>
      </c>
    </row>
    <row r="30" spans="1:5" ht="15" x14ac:dyDescent="0.25">
      <c r="A30" s="5" t="s">
        <v>30</v>
      </c>
      <c r="B30" s="6">
        <v>1600751</v>
      </c>
      <c r="C30" s="6">
        <v>462372</v>
      </c>
      <c r="D30" s="6">
        <v>462372</v>
      </c>
      <c r="E30" s="6">
        <v>0</v>
      </c>
    </row>
    <row r="31" spans="1:5" ht="15" x14ac:dyDescent="0.25">
      <c r="A31" s="5" t="s">
        <v>31</v>
      </c>
      <c r="B31" s="6">
        <v>2231175</v>
      </c>
      <c r="C31" s="6">
        <v>503231</v>
      </c>
      <c r="D31" s="6">
        <v>0</v>
      </c>
      <c r="E31" s="6">
        <v>503231</v>
      </c>
    </row>
    <row r="32" spans="1:5" ht="15" x14ac:dyDescent="0.25">
      <c r="A32" s="5" t="s">
        <v>32</v>
      </c>
      <c r="B32" s="6">
        <v>3081088</v>
      </c>
      <c r="C32" s="6">
        <v>1070020</v>
      </c>
      <c r="D32" s="6">
        <v>997556</v>
      </c>
      <c r="E32" s="6">
        <v>72464</v>
      </c>
    </row>
    <row r="33" spans="1:5" ht="15" x14ac:dyDescent="0.25">
      <c r="A33" s="5" t="s">
        <v>33</v>
      </c>
      <c r="B33" s="6">
        <v>1405068</v>
      </c>
      <c r="C33" s="6">
        <v>319486</v>
      </c>
      <c r="D33" s="6">
        <v>319486</v>
      </c>
      <c r="E33" s="6">
        <v>0</v>
      </c>
    </row>
    <row r="34" spans="1:5" ht="15" x14ac:dyDescent="0.25">
      <c r="A34" s="5" t="s">
        <v>34</v>
      </c>
      <c r="B34" s="6">
        <v>849759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1473205</v>
      </c>
      <c r="C35" s="6">
        <v>327734</v>
      </c>
      <c r="D35" s="6">
        <v>327734</v>
      </c>
      <c r="E35" s="6">
        <v>0</v>
      </c>
    </row>
    <row r="36" spans="1:5" ht="15" x14ac:dyDescent="0.25">
      <c r="A36" s="5" t="s">
        <v>36</v>
      </c>
      <c r="B36" s="6">
        <v>312709</v>
      </c>
      <c r="C36" s="6">
        <v>124154</v>
      </c>
      <c r="D36" s="6">
        <v>124154</v>
      </c>
      <c r="E36" s="6">
        <v>0</v>
      </c>
    </row>
    <row r="37" spans="1:5" ht="15" x14ac:dyDescent="0.25">
      <c r="A37" s="5" t="s">
        <v>37</v>
      </c>
      <c r="B37" s="6">
        <v>20935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396428</v>
      </c>
      <c r="C38" s="6">
        <v>83146</v>
      </c>
      <c r="D38" s="6">
        <v>81390</v>
      </c>
      <c r="E38" s="6">
        <v>1756</v>
      </c>
    </row>
    <row r="39" spans="1:5" ht="15" x14ac:dyDescent="0.25">
      <c r="A39" s="5" t="s">
        <v>39</v>
      </c>
      <c r="B39" s="6">
        <v>840677</v>
      </c>
      <c r="C39" s="6">
        <v>374356</v>
      </c>
      <c r="D39" s="6">
        <v>374356</v>
      </c>
      <c r="E39" s="6">
        <v>0</v>
      </c>
    </row>
    <row r="40" spans="1:5" ht="15" x14ac:dyDescent="0.25">
      <c r="A40" s="5" t="s">
        <v>40</v>
      </c>
      <c r="B40" s="6">
        <v>238002</v>
      </c>
      <c r="C40" s="6">
        <v>96651</v>
      </c>
      <c r="D40" s="6">
        <v>96172</v>
      </c>
      <c r="E40" s="6">
        <v>479</v>
      </c>
    </row>
    <row r="41" spans="1:5" ht="15" x14ac:dyDescent="0.25">
      <c r="A41" s="5" t="s">
        <v>41</v>
      </c>
      <c r="B41" s="6">
        <v>2116577</v>
      </c>
      <c r="C41" s="6">
        <v>770230</v>
      </c>
      <c r="D41" s="6">
        <v>770230</v>
      </c>
      <c r="E41" s="6">
        <v>0</v>
      </c>
    </row>
    <row r="42" spans="1:5" ht="15" x14ac:dyDescent="0.25">
      <c r="A42" s="5" t="s">
        <v>42</v>
      </c>
      <c r="B42" s="6">
        <v>994795</v>
      </c>
      <c r="C42" s="6">
        <v>296609</v>
      </c>
      <c r="D42" s="6">
        <v>296609</v>
      </c>
      <c r="E42" s="6">
        <v>0</v>
      </c>
    </row>
    <row r="43" spans="1:5" ht="15" x14ac:dyDescent="0.25">
      <c r="A43" s="5" t="s">
        <v>43</v>
      </c>
      <c r="B43" s="6">
        <v>7828034</v>
      </c>
      <c r="C43" s="6">
        <v>2552841</v>
      </c>
      <c r="D43" s="6">
        <v>439249</v>
      </c>
      <c r="E43" s="6">
        <v>2113592</v>
      </c>
    </row>
    <row r="44" spans="1:5" ht="15" x14ac:dyDescent="0.25">
      <c r="A44" s="5" t="s">
        <v>44</v>
      </c>
      <c r="B44" s="6">
        <v>2943671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133803</v>
      </c>
      <c r="C45" s="6">
        <v>36579</v>
      </c>
      <c r="D45" s="6">
        <v>34841</v>
      </c>
      <c r="E45" s="6">
        <v>1738</v>
      </c>
    </row>
    <row r="46" spans="1:5" ht="15" x14ac:dyDescent="0.25">
      <c r="A46" s="5" t="s">
        <v>46</v>
      </c>
      <c r="B46" s="6">
        <v>3626805</v>
      </c>
      <c r="C46" s="6">
        <v>906284</v>
      </c>
      <c r="D46" s="6">
        <v>906005</v>
      </c>
      <c r="E46" s="6">
        <v>279</v>
      </c>
    </row>
    <row r="47" spans="1:5" ht="15" x14ac:dyDescent="0.25">
      <c r="A47" s="5" t="s">
        <v>47</v>
      </c>
      <c r="B47" s="6">
        <v>1254710</v>
      </c>
      <c r="C47" s="6">
        <v>375734</v>
      </c>
      <c r="D47" s="6">
        <v>375734</v>
      </c>
      <c r="E47" s="6">
        <v>0</v>
      </c>
    </row>
    <row r="48" spans="1:5" ht="15" x14ac:dyDescent="0.25">
      <c r="A48" s="5" t="s">
        <v>48</v>
      </c>
      <c r="B48" s="6">
        <v>1316392</v>
      </c>
      <c r="C48" s="6">
        <v>740659</v>
      </c>
      <c r="D48" s="6">
        <v>630802</v>
      </c>
      <c r="E48" s="6">
        <v>109857</v>
      </c>
    </row>
    <row r="49" spans="1:5" ht="15" x14ac:dyDescent="0.25">
      <c r="A49" s="5" t="s">
        <v>49</v>
      </c>
      <c r="B49" s="6">
        <v>3674878</v>
      </c>
      <c r="C49" s="6">
        <v>1190350</v>
      </c>
      <c r="D49" s="6">
        <v>1122319</v>
      </c>
      <c r="E49" s="6">
        <v>68031</v>
      </c>
    </row>
    <row r="50" spans="1:5" ht="15" x14ac:dyDescent="0.25">
      <c r="A50" s="5" t="s">
        <v>50</v>
      </c>
      <c r="B50" s="6">
        <v>1510966</v>
      </c>
      <c r="C50" s="6">
        <v>689016</v>
      </c>
      <c r="D50" s="6" t="s">
        <v>8</v>
      </c>
      <c r="E50" s="6">
        <v>689016</v>
      </c>
    </row>
    <row r="51" spans="1:5" ht="15" x14ac:dyDescent="0.25">
      <c r="A51" s="5" t="s">
        <v>51</v>
      </c>
      <c r="B51" s="6">
        <v>358521</v>
      </c>
      <c r="C51" s="6">
        <v>101960</v>
      </c>
      <c r="D51" s="6">
        <v>101960</v>
      </c>
      <c r="E51" s="6">
        <v>0</v>
      </c>
    </row>
    <row r="52" spans="1:5" ht="15" x14ac:dyDescent="0.25">
      <c r="A52" s="5" t="s">
        <v>52</v>
      </c>
      <c r="B52" s="6">
        <v>1597102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136902</v>
      </c>
      <c r="C53" s="6">
        <v>0</v>
      </c>
      <c r="D53" s="6">
        <v>0</v>
      </c>
      <c r="E53" s="6">
        <v>0</v>
      </c>
    </row>
    <row r="54" spans="1:5" ht="15" x14ac:dyDescent="0.25">
      <c r="A54" s="5" t="s">
        <v>54</v>
      </c>
      <c r="B54" s="6">
        <v>1879777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6155461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527842</v>
      </c>
      <c r="C56" s="6">
        <v>145187</v>
      </c>
      <c r="D56" s="6">
        <v>144193</v>
      </c>
      <c r="E56" s="6">
        <v>994</v>
      </c>
    </row>
    <row r="57" spans="1:5" ht="15" x14ac:dyDescent="0.25">
      <c r="A57" s="5" t="s">
        <v>57</v>
      </c>
      <c r="B57" s="6">
        <v>203303</v>
      </c>
      <c r="C57" s="6">
        <v>89678</v>
      </c>
      <c r="D57" s="6">
        <v>0</v>
      </c>
      <c r="E57" s="6">
        <v>89678</v>
      </c>
    </row>
    <row r="58" spans="1:5" ht="15" x14ac:dyDescent="0.25">
      <c r="A58" s="5" t="s">
        <v>58</v>
      </c>
      <c r="B58" s="6">
        <v>37990</v>
      </c>
      <c r="C58" s="6">
        <v>18810</v>
      </c>
      <c r="D58" s="6" t="s">
        <v>8</v>
      </c>
      <c r="E58" s="6">
        <v>18810</v>
      </c>
    </row>
    <row r="59" spans="1:5" ht="15" x14ac:dyDescent="0.25">
      <c r="A59" s="5" t="s">
        <v>59</v>
      </c>
      <c r="B59" s="6">
        <v>1968746</v>
      </c>
      <c r="C59" s="6">
        <v>733836</v>
      </c>
      <c r="D59" s="6">
        <v>733836</v>
      </c>
      <c r="E59" s="6">
        <v>0</v>
      </c>
    </row>
    <row r="60" spans="1:5" ht="15" x14ac:dyDescent="0.25">
      <c r="A60" s="5" t="s">
        <v>60</v>
      </c>
      <c r="B60" s="6">
        <v>2183703</v>
      </c>
      <c r="C60" s="6">
        <v>850503</v>
      </c>
      <c r="D60" s="6">
        <v>830163</v>
      </c>
      <c r="E60" s="6">
        <v>20340</v>
      </c>
    </row>
    <row r="61" spans="1:5" ht="15" x14ac:dyDescent="0.25">
      <c r="A61" s="5" t="s">
        <v>61</v>
      </c>
      <c r="B61" s="6">
        <v>666632</v>
      </c>
      <c r="C61" s="6">
        <v>248751</v>
      </c>
      <c r="D61" s="6">
        <v>248751</v>
      </c>
      <c r="E61" s="6">
        <v>0</v>
      </c>
    </row>
    <row r="62" spans="1:5" ht="15" x14ac:dyDescent="0.25">
      <c r="A62" s="5" t="s">
        <v>62</v>
      </c>
      <c r="B62" s="6">
        <v>1577387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87753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99047187</v>
      </c>
      <c r="C64" s="8">
        <f>SUM(C8:C63)</f>
        <v>24514568</v>
      </c>
      <c r="D64" s="8">
        <f>SUM(D8:D63)</f>
        <v>19698444</v>
      </c>
      <c r="E64" s="8">
        <f>SUM(E8:E63)</f>
        <v>4816124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August 21, 2024 11:47 AM&amp;R&amp;"-,Regular"&amp;7Page : &amp;"-,Regular"&amp;7&amp;P&amp;"-,Regular"&amp;7 of &amp;"-,Regular"&amp;7&amp;N</oddFooter>
    <evenFooter>&amp;L&amp;"-,Regular"&amp;7Created On: Wednesday, August 21, 2024 11:47 AM&amp;R&amp;"-,Regular"&amp;7Page : &amp;"-,Regular"&amp;7&amp;P&amp;"-,Regular"&amp;7 of &amp;"-,Regular"&amp;7&amp;N</evenFooter>
    <firstFooter>&amp;L&amp;"-,Regular"&amp;7Created On: Wednesday, August 21, 2024 11:47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D2AF-84C8-4A68-B5FF-88BD3F76A319}">
  <sheetPr>
    <pageSetUpPr fitToPage="1"/>
  </sheetPr>
  <dimension ref="A1:E89"/>
  <sheetViews>
    <sheetView workbookViewId="0">
      <pane ySplit="7" topLeftCell="A8" activePane="bottomLeft" state="frozenSplit"/>
      <selection activeCell="N87" sqref="N87"/>
      <selection pane="bottomLeft" activeCell="N87" sqref="N87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179</v>
      </c>
      <c r="B2" s="2"/>
      <c r="C2" s="2"/>
      <c r="D2" s="2"/>
      <c r="E2" s="2"/>
    </row>
    <row r="3" spans="1:5" ht="15" x14ac:dyDescent="0.25">
      <c r="A3" s="2" t="s">
        <v>176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1359109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259640</v>
      </c>
      <c r="C9" s="6">
        <v>74566</v>
      </c>
      <c r="D9" s="6">
        <v>74564</v>
      </c>
      <c r="E9" s="6">
        <v>2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2936154</v>
      </c>
      <c r="C11" s="6">
        <v>940546</v>
      </c>
      <c r="D11" s="6">
        <v>256813</v>
      </c>
      <c r="E11" s="6">
        <v>683733</v>
      </c>
    </row>
    <row r="12" spans="1:5" ht="15" x14ac:dyDescent="0.25">
      <c r="A12" s="5" t="s">
        <v>12</v>
      </c>
      <c r="B12" s="6">
        <v>1057976</v>
      </c>
      <c r="C12" s="6">
        <v>337663</v>
      </c>
      <c r="D12" s="6">
        <v>317180</v>
      </c>
      <c r="E12" s="6">
        <v>20483</v>
      </c>
    </row>
    <row r="13" spans="1:5" ht="15" x14ac:dyDescent="0.25">
      <c r="A13" s="5" t="s">
        <v>13</v>
      </c>
      <c r="B13" s="6">
        <v>15161025</v>
      </c>
      <c r="C13" s="6">
        <v>5207799</v>
      </c>
      <c r="D13" s="6">
        <v>5176387</v>
      </c>
      <c r="E13" s="6">
        <v>31412</v>
      </c>
    </row>
    <row r="14" spans="1:5" ht="15" x14ac:dyDescent="0.25">
      <c r="A14" s="5" t="s">
        <v>14</v>
      </c>
      <c r="B14" s="6">
        <v>1721668</v>
      </c>
      <c r="C14" s="6">
        <v>636037</v>
      </c>
      <c r="D14" s="6">
        <v>624551</v>
      </c>
      <c r="E14" s="6">
        <v>11486</v>
      </c>
    </row>
    <row r="15" spans="1:5" ht="15" x14ac:dyDescent="0.25">
      <c r="A15" s="5" t="s">
        <v>15</v>
      </c>
      <c r="B15" s="6">
        <v>1183498</v>
      </c>
      <c r="C15" s="6">
        <v>380130</v>
      </c>
      <c r="D15" s="6">
        <v>348193</v>
      </c>
      <c r="E15" s="6">
        <v>31937</v>
      </c>
    </row>
    <row r="16" spans="1:5" ht="15" x14ac:dyDescent="0.25">
      <c r="A16" s="5" t="s">
        <v>16</v>
      </c>
      <c r="B16" s="6">
        <v>294816</v>
      </c>
      <c r="C16" s="6">
        <v>99621</v>
      </c>
      <c r="D16" s="6">
        <v>15975</v>
      </c>
      <c r="E16" s="6">
        <v>83646</v>
      </c>
    </row>
    <row r="17" spans="1:5" ht="15" x14ac:dyDescent="0.25">
      <c r="A17" s="5" t="s">
        <v>17</v>
      </c>
      <c r="B17" s="6">
        <v>294110</v>
      </c>
      <c r="C17" s="6">
        <v>140198</v>
      </c>
      <c r="D17" s="6">
        <v>94302</v>
      </c>
      <c r="E17" s="6">
        <v>45896</v>
      </c>
    </row>
    <row r="18" spans="1:5" ht="15" x14ac:dyDescent="0.25">
      <c r="A18" s="5" t="s">
        <v>18</v>
      </c>
      <c r="B18" s="6">
        <v>5743167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2520248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44382</v>
      </c>
      <c r="C20" s="6">
        <v>6092</v>
      </c>
      <c r="D20" s="6" t="s">
        <v>8</v>
      </c>
      <c r="E20" s="6">
        <v>6092</v>
      </c>
    </row>
    <row r="21" spans="1:5" ht="15" x14ac:dyDescent="0.25">
      <c r="A21" s="5" t="s">
        <v>21</v>
      </c>
      <c r="B21" s="6">
        <v>470620</v>
      </c>
      <c r="C21" s="6">
        <v>190949</v>
      </c>
      <c r="D21" s="6">
        <v>32417</v>
      </c>
      <c r="E21" s="6">
        <v>158532</v>
      </c>
    </row>
    <row r="22" spans="1:5" ht="15" x14ac:dyDescent="0.25">
      <c r="A22" s="5" t="s">
        <v>22</v>
      </c>
      <c r="B22" s="6">
        <v>482806</v>
      </c>
      <c r="C22" s="6">
        <v>150187</v>
      </c>
      <c r="D22" s="6">
        <v>150187</v>
      </c>
      <c r="E22" s="6">
        <v>0</v>
      </c>
    </row>
    <row r="23" spans="1:5" ht="15" x14ac:dyDescent="0.25">
      <c r="A23" s="5" t="s">
        <v>23</v>
      </c>
      <c r="B23" s="6">
        <v>3482952</v>
      </c>
      <c r="C23" s="6">
        <v>1037055</v>
      </c>
      <c r="D23" s="6">
        <v>941443</v>
      </c>
      <c r="E23" s="6">
        <v>95612</v>
      </c>
    </row>
    <row r="24" spans="1:5" ht="15" x14ac:dyDescent="0.25">
      <c r="A24" s="5" t="s">
        <v>24</v>
      </c>
      <c r="B24" s="6">
        <v>2083945</v>
      </c>
      <c r="C24" s="6">
        <v>614714</v>
      </c>
      <c r="D24" s="6">
        <v>614714</v>
      </c>
      <c r="E24" s="6">
        <v>0</v>
      </c>
    </row>
    <row r="25" spans="1:5" ht="15" x14ac:dyDescent="0.25">
      <c r="A25" s="5" t="s">
        <v>25</v>
      </c>
      <c r="B25" s="6">
        <v>807983</v>
      </c>
      <c r="C25" s="6">
        <v>269427</v>
      </c>
      <c r="D25" s="6">
        <v>198456</v>
      </c>
      <c r="E25" s="6">
        <v>70971</v>
      </c>
    </row>
    <row r="26" spans="1:5" ht="15" x14ac:dyDescent="0.25">
      <c r="A26" s="5" t="s">
        <v>26</v>
      </c>
      <c r="B26" s="6">
        <v>474463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1591087</v>
      </c>
      <c r="C27" s="6">
        <v>659697</v>
      </c>
      <c r="D27" s="6">
        <v>659697</v>
      </c>
      <c r="E27" s="6">
        <v>0</v>
      </c>
    </row>
    <row r="28" spans="1:5" ht="15" x14ac:dyDescent="0.25">
      <c r="A28" s="5" t="s">
        <v>28</v>
      </c>
      <c r="B28" s="6">
        <v>1893185</v>
      </c>
      <c r="C28" s="6">
        <v>777640</v>
      </c>
      <c r="D28" s="6">
        <v>777640</v>
      </c>
      <c r="E28" s="6">
        <v>0</v>
      </c>
    </row>
    <row r="29" spans="1:5" ht="15" x14ac:dyDescent="0.25">
      <c r="A29" s="5" t="s">
        <v>29</v>
      </c>
      <c r="B29" s="6">
        <v>419518</v>
      </c>
      <c r="C29" s="6">
        <v>115264</v>
      </c>
      <c r="D29" s="6">
        <v>91490</v>
      </c>
      <c r="E29" s="6">
        <v>23774</v>
      </c>
    </row>
    <row r="30" spans="1:5" ht="15" x14ac:dyDescent="0.25">
      <c r="A30" s="5" t="s">
        <v>30</v>
      </c>
      <c r="B30" s="6">
        <v>1607976</v>
      </c>
      <c r="C30" s="6">
        <v>464935</v>
      </c>
      <c r="D30" s="6">
        <v>464935</v>
      </c>
      <c r="E30" s="6">
        <v>0</v>
      </c>
    </row>
    <row r="31" spans="1:5" ht="15" x14ac:dyDescent="0.25">
      <c r="A31" s="5" t="s">
        <v>31</v>
      </c>
      <c r="B31" s="6">
        <v>2263673</v>
      </c>
      <c r="C31" s="6">
        <v>505330</v>
      </c>
      <c r="D31" s="6">
        <v>0</v>
      </c>
      <c r="E31" s="6">
        <v>505330</v>
      </c>
    </row>
    <row r="32" spans="1:5" ht="15" x14ac:dyDescent="0.25">
      <c r="A32" s="5" t="s">
        <v>32</v>
      </c>
      <c r="B32" s="6">
        <v>3093270</v>
      </c>
      <c r="C32" s="6">
        <v>1076682</v>
      </c>
      <c r="D32" s="6">
        <v>1004006</v>
      </c>
      <c r="E32" s="6">
        <v>72676</v>
      </c>
    </row>
    <row r="33" spans="1:5" ht="15" x14ac:dyDescent="0.25">
      <c r="A33" s="5" t="s">
        <v>33</v>
      </c>
      <c r="B33" s="6">
        <v>1406103</v>
      </c>
      <c r="C33" s="6">
        <v>321124</v>
      </c>
      <c r="D33" s="6">
        <v>321124</v>
      </c>
      <c r="E33" s="6">
        <v>0</v>
      </c>
    </row>
    <row r="34" spans="1:5" ht="15" x14ac:dyDescent="0.25">
      <c r="A34" s="5" t="s">
        <v>34</v>
      </c>
      <c r="B34" s="6">
        <v>853586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1488152</v>
      </c>
      <c r="C35" s="6">
        <v>333944</v>
      </c>
      <c r="D35" s="6">
        <v>333944</v>
      </c>
      <c r="E35" s="6">
        <v>0</v>
      </c>
    </row>
    <row r="36" spans="1:5" ht="15" x14ac:dyDescent="0.25">
      <c r="A36" s="5" t="s">
        <v>36</v>
      </c>
      <c r="B36" s="6">
        <v>313782</v>
      </c>
      <c r="C36" s="6">
        <v>124591</v>
      </c>
      <c r="D36" s="6">
        <v>124591</v>
      </c>
      <c r="E36" s="6">
        <v>0</v>
      </c>
    </row>
    <row r="37" spans="1:5" ht="15" x14ac:dyDescent="0.25">
      <c r="A37" s="5" t="s">
        <v>37</v>
      </c>
      <c r="B37" s="6">
        <v>22271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398648</v>
      </c>
      <c r="C38" s="6">
        <v>84268</v>
      </c>
      <c r="D38" s="6">
        <v>82456</v>
      </c>
      <c r="E38" s="6">
        <v>1812</v>
      </c>
    </row>
    <row r="39" spans="1:5" ht="15" x14ac:dyDescent="0.25">
      <c r="A39" s="5" t="s">
        <v>39</v>
      </c>
      <c r="B39" s="6">
        <v>839732</v>
      </c>
      <c r="C39" s="6">
        <v>378188</v>
      </c>
      <c r="D39" s="6">
        <v>378188</v>
      </c>
      <c r="E39" s="6">
        <v>0</v>
      </c>
    </row>
    <row r="40" spans="1:5" ht="15" x14ac:dyDescent="0.25">
      <c r="A40" s="5" t="s">
        <v>40</v>
      </c>
      <c r="B40" s="6">
        <v>240214</v>
      </c>
      <c r="C40" s="6">
        <v>97424</v>
      </c>
      <c r="D40" s="6">
        <v>96933</v>
      </c>
      <c r="E40" s="6">
        <v>491</v>
      </c>
    </row>
    <row r="41" spans="1:5" ht="15" x14ac:dyDescent="0.25">
      <c r="A41" s="5" t="s">
        <v>41</v>
      </c>
      <c r="B41" s="6">
        <v>2126735</v>
      </c>
      <c r="C41" s="6">
        <v>772308</v>
      </c>
      <c r="D41" s="6">
        <v>772308</v>
      </c>
      <c r="E41" s="6">
        <v>0</v>
      </c>
    </row>
    <row r="42" spans="1:5" ht="15" x14ac:dyDescent="0.25">
      <c r="A42" s="5" t="s">
        <v>42</v>
      </c>
      <c r="B42" s="6">
        <v>994947</v>
      </c>
      <c r="C42" s="6">
        <v>296226</v>
      </c>
      <c r="D42" s="6">
        <v>296226</v>
      </c>
      <c r="E42" s="6">
        <v>0</v>
      </c>
    </row>
    <row r="43" spans="1:5" ht="15" x14ac:dyDescent="0.25">
      <c r="A43" s="5" t="s">
        <v>43</v>
      </c>
      <c r="B43" s="6">
        <v>7857119</v>
      </c>
      <c r="C43" s="6">
        <v>2551609</v>
      </c>
      <c r="D43" s="6">
        <v>439883</v>
      </c>
      <c r="E43" s="6">
        <v>2111726</v>
      </c>
    </row>
    <row r="44" spans="1:5" ht="15" x14ac:dyDescent="0.25">
      <c r="A44" s="5" t="s">
        <v>44</v>
      </c>
      <c r="B44" s="6">
        <v>2958755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135682</v>
      </c>
      <c r="C45" s="6">
        <v>37276</v>
      </c>
      <c r="D45" s="6">
        <v>35518</v>
      </c>
      <c r="E45" s="6">
        <v>1758</v>
      </c>
    </row>
    <row r="46" spans="1:5" ht="15" x14ac:dyDescent="0.25">
      <c r="A46" s="5" t="s">
        <v>46</v>
      </c>
      <c r="B46" s="6">
        <v>3642778</v>
      </c>
      <c r="C46" s="6">
        <v>917129</v>
      </c>
      <c r="D46" s="6">
        <v>916855</v>
      </c>
      <c r="E46" s="6">
        <v>274</v>
      </c>
    </row>
    <row r="47" spans="1:5" ht="15" x14ac:dyDescent="0.25">
      <c r="A47" s="5" t="s">
        <v>47</v>
      </c>
      <c r="B47" s="6">
        <v>1250815</v>
      </c>
      <c r="C47" s="6">
        <v>376248</v>
      </c>
      <c r="D47" s="6">
        <v>376248</v>
      </c>
      <c r="E47" s="6">
        <v>0</v>
      </c>
    </row>
    <row r="48" spans="1:5" ht="15" x14ac:dyDescent="0.25">
      <c r="A48" s="5" t="s">
        <v>48</v>
      </c>
      <c r="B48" s="6">
        <v>1324402</v>
      </c>
      <c r="C48" s="6">
        <v>744834</v>
      </c>
      <c r="D48" s="6">
        <v>635240</v>
      </c>
      <c r="E48" s="6">
        <v>109594</v>
      </c>
    </row>
    <row r="49" spans="1:5" ht="15" x14ac:dyDescent="0.25">
      <c r="A49" s="5" t="s">
        <v>49</v>
      </c>
      <c r="B49" s="6">
        <v>3691255</v>
      </c>
      <c r="C49" s="6">
        <v>1200478</v>
      </c>
      <c r="D49" s="6">
        <v>1132105</v>
      </c>
      <c r="E49" s="6">
        <v>68373</v>
      </c>
    </row>
    <row r="50" spans="1:5" ht="15" x14ac:dyDescent="0.25">
      <c r="A50" s="5" t="s">
        <v>50</v>
      </c>
      <c r="B50" s="6">
        <v>1514696</v>
      </c>
      <c r="C50" s="6">
        <v>691402</v>
      </c>
      <c r="D50" s="6" t="s">
        <v>8</v>
      </c>
      <c r="E50" s="6">
        <v>691402</v>
      </c>
    </row>
    <row r="51" spans="1:5" ht="15" x14ac:dyDescent="0.25">
      <c r="A51" s="5" t="s">
        <v>51</v>
      </c>
      <c r="B51" s="6">
        <v>360375</v>
      </c>
      <c r="C51" s="6">
        <v>102707</v>
      </c>
      <c r="D51" s="6">
        <v>102707</v>
      </c>
      <c r="E51" s="6">
        <v>0</v>
      </c>
    </row>
    <row r="52" spans="1:5" ht="15" x14ac:dyDescent="0.25">
      <c r="A52" s="5" t="s">
        <v>52</v>
      </c>
      <c r="B52" s="6">
        <v>1604304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137575</v>
      </c>
      <c r="C53" s="6">
        <v>0</v>
      </c>
      <c r="D53" s="6">
        <v>0</v>
      </c>
      <c r="E53" s="6">
        <v>0</v>
      </c>
    </row>
    <row r="54" spans="1:5" ht="15" x14ac:dyDescent="0.25">
      <c r="A54" s="5" t="s">
        <v>54</v>
      </c>
      <c r="B54" s="6">
        <v>1885414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6197549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532329</v>
      </c>
      <c r="C56" s="6">
        <v>146964</v>
      </c>
      <c r="D56" s="6">
        <v>146000</v>
      </c>
      <c r="E56" s="6">
        <v>964</v>
      </c>
    </row>
    <row r="57" spans="1:5" ht="15" x14ac:dyDescent="0.25">
      <c r="A57" s="5" t="s">
        <v>57</v>
      </c>
      <c r="B57" s="6">
        <v>203498</v>
      </c>
      <c r="C57" s="6">
        <v>89072</v>
      </c>
      <c r="D57" s="6">
        <v>0</v>
      </c>
      <c r="E57" s="6">
        <v>89072</v>
      </c>
    </row>
    <row r="58" spans="1:5" ht="15" x14ac:dyDescent="0.25">
      <c r="A58" s="5" t="s">
        <v>58</v>
      </c>
      <c r="B58" s="6">
        <v>38131</v>
      </c>
      <c r="C58" s="6">
        <v>18924</v>
      </c>
      <c r="D58" s="6" t="s">
        <v>8</v>
      </c>
      <c r="E58" s="6">
        <v>18924</v>
      </c>
    </row>
    <row r="59" spans="1:5" ht="15" x14ac:dyDescent="0.25">
      <c r="A59" s="5" t="s">
        <v>59</v>
      </c>
      <c r="B59" s="6">
        <v>1980346</v>
      </c>
      <c r="C59" s="6">
        <v>739154</v>
      </c>
      <c r="D59" s="6">
        <v>739154</v>
      </c>
      <c r="E59" s="6">
        <v>0</v>
      </c>
    </row>
    <row r="60" spans="1:5" ht="15" x14ac:dyDescent="0.25">
      <c r="A60" s="5" t="s">
        <v>60</v>
      </c>
      <c r="B60" s="6">
        <v>2194939</v>
      </c>
      <c r="C60" s="6">
        <v>856246</v>
      </c>
      <c r="D60" s="6">
        <v>836012</v>
      </c>
      <c r="E60" s="6">
        <v>20234</v>
      </c>
    </row>
    <row r="61" spans="1:5" ht="15" x14ac:dyDescent="0.25">
      <c r="A61" s="5" t="s">
        <v>61</v>
      </c>
      <c r="B61" s="6">
        <v>669145</v>
      </c>
      <c r="C61" s="6">
        <v>250317</v>
      </c>
      <c r="D61" s="6">
        <v>250317</v>
      </c>
      <c r="E61" s="6">
        <v>0</v>
      </c>
    </row>
    <row r="62" spans="1:5" ht="15" x14ac:dyDescent="0.25">
      <c r="A62" s="5" t="s">
        <v>62</v>
      </c>
      <c r="B62" s="6">
        <v>1663048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88247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99895730</v>
      </c>
      <c r="C64" s="8">
        <f>SUM(C8:C63)</f>
        <v>24814965</v>
      </c>
      <c r="D64" s="8">
        <f>SUM(D8:D63)</f>
        <v>19858759</v>
      </c>
      <c r="E64" s="8">
        <f>SUM(E8:E63)</f>
        <v>4956206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August 21, 2024 11:47 AM&amp;R&amp;"-,Regular"&amp;7Page : &amp;"-,Regular"&amp;7&amp;P&amp;"-,Regular"&amp;7 of &amp;"-,Regular"&amp;7&amp;N</oddFooter>
    <evenFooter>&amp;L&amp;"-,Regular"&amp;7Created On: Wednesday, August 21, 2024 11:47 AM&amp;R&amp;"-,Regular"&amp;7Page : &amp;"-,Regular"&amp;7&amp;P&amp;"-,Regular"&amp;7 of &amp;"-,Regular"&amp;7&amp;N</evenFooter>
    <firstFooter>&amp;L&amp;"-,Regular"&amp;7Created On: Wednesday, August 21, 2024 11:47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FBF8-79D4-4FC6-99AB-79C6E786DFFB}">
  <sheetPr>
    <pageSetUpPr fitToPage="1"/>
  </sheetPr>
  <dimension ref="A1:E90"/>
  <sheetViews>
    <sheetView workbookViewId="0">
      <pane ySplit="7" topLeftCell="A8" activePane="bottomLeft" state="frozenSplit"/>
      <selection activeCell="A87" sqref="A87:XFD87"/>
      <selection pane="bottomLeft" activeCell="O22" sqref="O22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182</v>
      </c>
      <c r="B2" s="2"/>
      <c r="C2" s="2"/>
      <c r="D2" s="2"/>
      <c r="E2" s="2"/>
    </row>
    <row r="3" spans="1:5" ht="15" x14ac:dyDescent="0.25">
      <c r="A3" s="2" t="s">
        <v>181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1364577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261307</v>
      </c>
      <c r="C9" s="6">
        <v>75199</v>
      </c>
      <c r="D9" s="6">
        <v>75199</v>
      </c>
      <c r="E9" s="6">
        <v>0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2433716</v>
      </c>
      <c r="C11" s="6">
        <v>737790</v>
      </c>
      <c r="D11" s="6">
        <v>185937</v>
      </c>
      <c r="E11" s="6">
        <v>551853</v>
      </c>
    </row>
    <row r="12" spans="1:5" ht="15" x14ac:dyDescent="0.25">
      <c r="A12" s="5" t="s">
        <v>12</v>
      </c>
      <c r="B12" s="6">
        <v>1065074</v>
      </c>
      <c r="C12" s="6">
        <v>338874</v>
      </c>
      <c r="D12" s="6">
        <v>319948</v>
      </c>
      <c r="E12" s="6">
        <v>18926</v>
      </c>
    </row>
    <row r="13" spans="1:5" ht="15" x14ac:dyDescent="0.25">
      <c r="A13" s="5" t="s">
        <v>13</v>
      </c>
      <c r="B13" s="6">
        <v>15334686</v>
      </c>
      <c r="C13" s="6">
        <v>5281624</v>
      </c>
      <c r="D13" s="6">
        <v>5250097</v>
      </c>
      <c r="E13" s="6">
        <v>31527</v>
      </c>
    </row>
    <row r="14" spans="1:5" ht="15" x14ac:dyDescent="0.25">
      <c r="A14" s="5" t="s">
        <v>14</v>
      </c>
      <c r="B14" s="6">
        <v>1706020</v>
      </c>
      <c r="C14" s="6">
        <v>631265</v>
      </c>
      <c r="D14" s="6">
        <v>618738</v>
      </c>
      <c r="E14" s="6">
        <v>12527</v>
      </c>
    </row>
    <row r="15" spans="1:5" ht="15" x14ac:dyDescent="0.25">
      <c r="A15" s="5" t="s">
        <v>15</v>
      </c>
      <c r="B15" s="6">
        <v>1188840</v>
      </c>
      <c r="C15" s="6">
        <v>382886</v>
      </c>
      <c r="D15" s="6">
        <v>350944</v>
      </c>
      <c r="E15" s="6">
        <v>31942</v>
      </c>
    </row>
    <row r="16" spans="1:5" ht="15" x14ac:dyDescent="0.25">
      <c r="A16" s="5" t="s">
        <v>16</v>
      </c>
      <c r="B16" s="6">
        <v>298017</v>
      </c>
      <c r="C16" s="6">
        <v>101497</v>
      </c>
      <c r="D16" s="6">
        <v>16205</v>
      </c>
      <c r="E16" s="6">
        <v>85292</v>
      </c>
    </row>
    <row r="17" spans="1:5" ht="15" x14ac:dyDescent="0.25">
      <c r="A17" s="5" t="s">
        <v>17</v>
      </c>
      <c r="B17" s="6">
        <v>295197</v>
      </c>
      <c r="C17" s="6">
        <v>141249</v>
      </c>
      <c r="D17" s="6">
        <v>95163</v>
      </c>
      <c r="E17" s="6">
        <v>46086</v>
      </c>
    </row>
    <row r="18" spans="1:5" ht="15" x14ac:dyDescent="0.25">
      <c r="A18" s="5" t="s">
        <v>18</v>
      </c>
      <c r="B18" s="6">
        <v>5710996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2604887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44865</v>
      </c>
      <c r="C20" s="6">
        <v>6232</v>
      </c>
      <c r="D20" s="6" t="s">
        <v>8</v>
      </c>
      <c r="E20" s="6">
        <v>6232</v>
      </c>
    </row>
    <row r="21" spans="1:5" ht="15" x14ac:dyDescent="0.25">
      <c r="A21" s="5" t="s">
        <v>21</v>
      </c>
      <c r="B21" s="6">
        <v>471659</v>
      </c>
      <c r="C21" s="6">
        <v>191449</v>
      </c>
      <c r="D21" s="6">
        <v>32557</v>
      </c>
      <c r="E21" s="6">
        <v>158892</v>
      </c>
    </row>
    <row r="22" spans="1:5" ht="15" x14ac:dyDescent="0.25">
      <c r="A22" s="5" t="s">
        <v>22</v>
      </c>
      <c r="B22" s="6">
        <v>469171</v>
      </c>
      <c r="C22" s="6">
        <v>143959</v>
      </c>
      <c r="D22" s="6">
        <v>143959</v>
      </c>
      <c r="E22" s="6">
        <v>0</v>
      </c>
    </row>
    <row r="23" spans="1:5" ht="15" x14ac:dyDescent="0.25">
      <c r="A23" s="5" t="s">
        <v>23</v>
      </c>
      <c r="B23" s="6">
        <v>3496748</v>
      </c>
      <c r="C23" s="6">
        <v>995430</v>
      </c>
      <c r="D23" s="6">
        <v>915846</v>
      </c>
      <c r="E23" s="6">
        <v>79584</v>
      </c>
    </row>
    <row r="24" spans="1:5" ht="15" x14ac:dyDescent="0.25">
      <c r="A24" s="5" t="s">
        <v>24</v>
      </c>
      <c r="B24" s="6">
        <v>2113952</v>
      </c>
      <c r="C24" s="6">
        <v>621070</v>
      </c>
      <c r="D24" s="6">
        <v>621070</v>
      </c>
      <c r="E24" s="6">
        <v>0</v>
      </c>
    </row>
    <row r="25" spans="1:5" ht="15" x14ac:dyDescent="0.25">
      <c r="A25" s="5" t="s">
        <v>25</v>
      </c>
      <c r="B25" s="6">
        <v>812228</v>
      </c>
      <c r="C25" s="6">
        <v>270893</v>
      </c>
      <c r="D25" s="6">
        <v>199450</v>
      </c>
      <c r="E25" s="6">
        <v>71443</v>
      </c>
    </row>
    <row r="26" spans="1:5" ht="15" x14ac:dyDescent="0.25">
      <c r="A26" s="5" t="s">
        <v>26</v>
      </c>
      <c r="B26" s="6">
        <v>474116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1610393</v>
      </c>
      <c r="C27" s="6">
        <v>664493</v>
      </c>
      <c r="D27" s="6">
        <v>664493</v>
      </c>
      <c r="E27" s="6">
        <v>0</v>
      </c>
    </row>
    <row r="28" spans="1:5" ht="15" x14ac:dyDescent="0.25">
      <c r="A28" s="5" t="s">
        <v>28</v>
      </c>
      <c r="B28" s="6">
        <v>2055876</v>
      </c>
      <c r="C28" s="6">
        <v>782375</v>
      </c>
      <c r="D28" s="6">
        <v>782375</v>
      </c>
      <c r="E28" s="6">
        <v>0</v>
      </c>
    </row>
    <row r="29" spans="1:5" ht="15" x14ac:dyDescent="0.25">
      <c r="A29" s="5" t="s">
        <v>29</v>
      </c>
      <c r="B29" s="6">
        <v>418789</v>
      </c>
      <c r="C29" s="6">
        <v>115829</v>
      </c>
      <c r="D29" s="6">
        <v>92199</v>
      </c>
      <c r="E29" s="6">
        <v>23630</v>
      </c>
    </row>
    <row r="30" spans="1:5" ht="15" x14ac:dyDescent="0.25">
      <c r="A30" s="5" t="s">
        <v>30</v>
      </c>
      <c r="B30" s="6">
        <v>1614019</v>
      </c>
      <c r="C30" s="6">
        <v>466489</v>
      </c>
      <c r="D30" s="6">
        <v>466489</v>
      </c>
      <c r="E30" s="6">
        <v>0</v>
      </c>
    </row>
    <row r="31" spans="1:5" ht="15" x14ac:dyDescent="0.25">
      <c r="A31" s="5" t="s">
        <v>31</v>
      </c>
      <c r="B31" s="6">
        <v>2277510</v>
      </c>
      <c r="C31" s="6">
        <v>510585</v>
      </c>
      <c r="D31" s="6">
        <v>0</v>
      </c>
      <c r="E31" s="6">
        <v>510585</v>
      </c>
    </row>
    <row r="32" spans="1:5" ht="15" x14ac:dyDescent="0.25">
      <c r="A32" s="5" t="s">
        <v>32</v>
      </c>
      <c r="B32" s="6">
        <v>3098032</v>
      </c>
      <c r="C32" s="6">
        <v>1082321</v>
      </c>
      <c r="D32" s="6">
        <v>1008952</v>
      </c>
      <c r="E32" s="6">
        <v>73369</v>
      </c>
    </row>
    <row r="33" spans="1:5" ht="15" x14ac:dyDescent="0.25">
      <c r="A33" s="5" t="s">
        <v>33</v>
      </c>
      <c r="B33" s="6">
        <v>1419502</v>
      </c>
      <c r="C33" s="6">
        <v>323754</v>
      </c>
      <c r="D33" s="6">
        <v>323754</v>
      </c>
      <c r="E33" s="6">
        <v>0</v>
      </c>
    </row>
    <row r="34" spans="1:5" ht="15" x14ac:dyDescent="0.25">
      <c r="A34" s="5" t="s">
        <v>34</v>
      </c>
      <c r="B34" s="6">
        <v>856539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1496537</v>
      </c>
      <c r="C35" s="6">
        <v>342600</v>
      </c>
      <c r="D35" s="6">
        <v>342600</v>
      </c>
      <c r="E35" s="6">
        <v>0</v>
      </c>
    </row>
    <row r="36" spans="1:5" ht="15" x14ac:dyDescent="0.25">
      <c r="A36" s="5" t="s">
        <v>36</v>
      </c>
      <c r="B36" s="6">
        <v>314579</v>
      </c>
      <c r="C36" s="6">
        <v>124931</v>
      </c>
      <c r="D36" s="6">
        <v>124931</v>
      </c>
      <c r="E36" s="6">
        <v>0</v>
      </c>
    </row>
    <row r="37" spans="1:5" ht="15" x14ac:dyDescent="0.25">
      <c r="A37" s="5" t="s">
        <v>37</v>
      </c>
      <c r="B37" s="6">
        <v>26263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400184</v>
      </c>
      <c r="C38" s="6">
        <v>85152</v>
      </c>
      <c r="D38" s="6">
        <v>83299</v>
      </c>
      <c r="E38" s="6">
        <v>1853</v>
      </c>
    </row>
    <row r="39" spans="1:5" ht="15" x14ac:dyDescent="0.25">
      <c r="A39" s="5" t="s">
        <v>39</v>
      </c>
      <c r="B39" s="6">
        <v>844211</v>
      </c>
      <c r="C39" s="6">
        <v>381879</v>
      </c>
      <c r="D39" s="6">
        <v>381879</v>
      </c>
      <c r="E39" s="6">
        <v>0</v>
      </c>
    </row>
    <row r="40" spans="1:5" ht="15" x14ac:dyDescent="0.25">
      <c r="A40" s="5" t="s">
        <v>40</v>
      </c>
      <c r="B40" s="6">
        <v>226103</v>
      </c>
      <c r="C40" s="6">
        <v>87996</v>
      </c>
      <c r="D40" s="6">
        <v>87528</v>
      </c>
      <c r="E40" s="6">
        <v>468</v>
      </c>
    </row>
    <row r="41" spans="1:5" ht="15" x14ac:dyDescent="0.25">
      <c r="A41" s="5" t="s">
        <v>41</v>
      </c>
      <c r="B41" s="6">
        <v>2139100</v>
      </c>
      <c r="C41" s="6">
        <v>775018</v>
      </c>
      <c r="D41" s="6">
        <v>775018</v>
      </c>
      <c r="E41" s="6">
        <v>0</v>
      </c>
    </row>
    <row r="42" spans="1:5" ht="15" x14ac:dyDescent="0.25">
      <c r="A42" s="5" t="s">
        <v>42</v>
      </c>
      <c r="B42" s="6">
        <v>995558</v>
      </c>
      <c r="C42" s="6">
        <v>303396</v>
      </c>
      <c r="D42" s="6">
        <v>303396</v>
      </c>
      <c r="E42" s="6">
        <v>0</v>
      </c>
    </row>
    <row r="43" spans="1:5" ht="15" x14ac:dyDescent="0.25">
      <c r="A43" s="5" t="s">
        <v>43</v>
      </c>
      <c r="B43" s="6">
        <v>7932310</v>
      </c>
      <c r="C43" s="6">
        <v>2561859</v>
      </c>
      <c r="D43" s="6">
        <v>441695</v>
      </c>
      <c r="E43" s="6">
        <v>2120164</v>
      </c>
    </row>
    <row r="44" spans="1:5" ht="15" x14ac:dyDescent="0.25">
      <c r="A44" s="5" t="s">
        <v>44</v>
      </c>
      <c r="B44" s="6">
        <v>3016820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136640</v>
      </c>
      <c r="C45" s="6">
        <v>37882</v>
      </c>
      <c r="D45" s="6">
        <v>35932</v>
      </c>
      <c r="E45" s="6">
        <v>1950</v>
      </c>
    </row>
    <row r="46" spans="1:5" ht="15" x14ac:dyDescent="0.25">
      <c r="A46" s="5" t="s">
        <v>46</v>
      </c>
      <c r="B46" s="6">
        <v>3653871</v>
      </c>
      <c r="C46" s="6">
        <v>924031</v>
      </c>
      <c r="D46" s="6">
        <v>923749</v>
      </c>
      <c r="E46" s="6">
        <v>282</v>
      </c>
    </row>
    <row r="47" spans="1:5" ht="15" x14ac:dyDescent="0.25">
      <c r="A47" s="5" t="s">
        <v>47</v>
      </c>
      <c r="B47" s="6">
        <v>1264241</v>
      </c>
      <c r="C47" s="6">
        <v>384303</v>
      </c>
      <c r="D47" s="6">
        <v>384303</v>
      </c>
      <c r="E47" s="6">
        <v>0</v>
      </c>
    </row>
    <row r="48" spans="1:5" ht="15" x14ac:dyDescent="0.25">
      <c r="A48" s="5" t="s">
        <v>48</v>
      </c>
      <c r="B48" s="6">
        <v>1335586</v>
      </c>
      <c r="C48" s="6">
        <v>751033</v>
      </c>
      <c r="D48" s="6">
        <v>641349</v>
      </c>
      <c r="E48" s="6">
        <v>109684</v>
      </c>
    </row>
    <row r="49" spans="1:5" ht="15" x14ac:dyDescent="0.25">
      <c r="A49" s="5" t="s">
        <v>49</v>
      </c>
      <c r="B49" s="6">
        <v>3700360</v>
      </c>
      <c r="C49" s="6">
        <v>1204847</v>
      </c>
      <c r="D49" s="6">
        <v>1136297</v>
      </c>
      <c r="E49" s="6">
        <v>68550</v>
      </c>
    </row>
    <row r="50" spans="1:5" ht="15" x14ac:dyDescent="0.25">
      <c r="A50" s="5" t="s">
        <v>50</v>
      </c>
      <c r="B50" s="6">
        <v>1519752</v>
      </c>
      <c r="C50" s="6">
        <v>692965</v>
      </c>
      <c r="D50" s="6" t="s">
        <v>8</v>
      </c>
      <c r="E50" s="6">
        <v>692965</v>
      </c>
    </row>
    <row r="51" spans="1:5" ht="15" x14ac:dyDescent="0.25">
      <c r="A51" s="5" t="s">
        <v>51</v>
      </c>
      <c r="B51" s="6">
        <v>361944</v>
      </c>
      <c r="C51" s="6">
        <v>103366</v>
      </c>
      <c r="D51" s="6">
        <v>103366</v>
      </c>
      <c r="E51" s="6">
        <v>0</v>
      </c>
    </row>
    <row r="52" spans="1:5" ht="15" x14ac:dyDescent="0.25">
      <c r="A52" s="5" t="s">
        <v>52</v>
      </c>
      <c r="B52" s="6">
        <v>1616949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125583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1899016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6230848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535754</v>
      </c>
      <c r="C56" s="6">
        <v>148507</v>
      </c>
      <c r="D56" s="6">
        <v>147554</v>
      </c>
      <c r="E56" s="6">
        <v>953</v>
      </c>
    </row>
    <row r="57" spans="1:5" ht="15" x14ac:dyDescent="0.25">
      <c r="A57" s="5" t="s">
        <v>57</v>
      </c>
      <c r="B57" s="6">
        <v>203918</v>
      </c>
      <c r="C57" s="6">
        <v>88902</v>
      </c>
      <c r="D57" s="6">
        <v>0</v>
      </c>
      <c r="E57" s="6">
        <v>88902</v>
      </c>
    </row>
    <row r="58" spans="1:5" ht="15" x14ac:dyDescent="0.25">
      <c r="A58" s="5" t="s">
        <v>58</v>
      </c>
      <c r="B58" s="6">
        <v>38196</v>
      </c>
      <c r="C58" s="6">
        <v>19001</v>
      </c>
      <c r="D58" s="6" t="s">
        <v>8</v>
      </c>
      <c r="E58" s="6">
        <v>19001</v>
      </c>
    </row>
    <row r="59" spans="1:5" ht="15" x14ac:dyDescent="0.25">
      <c r="A59" s="5" t="s">
        <v>59</v>
      </c>
      <c r="B59" s="6">
        <v>1992240</v>
      </c>
      <c r="C59" s="6">
        <v>745346</v>
      </c>
      <c r="D59" s="6">
        <v>745346</v>
      </c>
      <c r="E59" s="6">
        <v>0</v>
      </c>
    </row>
    <row r="60" spans="1:5" ht="15" x14ac:dyDescent="0.25">
      <c r="A60" s="5" t="s">
        <v>60</v>
      </c>
      <c r="B60" s="6">
        <v>2214990</v>
      </c>
      <c r="C60" s="6">
        <v>860277</v>
      </c>
      <c r="D60" s="6">
        <v>840178</v>
      </c>
      <c r="E60" s="6">
        <v>20099</v>
      </c>
    </row>
    <row r="61" spans="1:5" ht="15" x14ac:dyDescent="0.25">
      <c r="A61" s="5" t="s">
        <v>61</v>
      </c>
      <c r="B61" s="6">
        <v>670940</v>
      </c>
      <c r="C61" s="6">
        <v>251709</v>
      </c>
      <c r="D61" s="6">
        <v>251709</v>
      </c>
      <c r="E61" s="6">
        <v>0</v>
      </c>
    </row>
    <row r="62" spans="1:5" ht="15" x14ac:dyDescent="0.25">
      <c r="A62" s="5" t="s">
        <v>62</v>
      </c>
      <c r="B62" s="6">
        <v>1588845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88595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100100536</v>
      </c>
      <c r="C64" s="8">
        <f>SUM(C8:C63)</f>
        <v>24740263</v>
      </c>
      <c r="D64" s="8">
        <f>SUM(D8:D63)</f>
        <v>19913504</v>
      </c>
      <c r="E64" s="8">
        <f>SUM(E8:E63)</f>
        <v>4826759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  <row r="90" spans="1:1" x14ac:dyDescent="0.25">
      <c r="A90" s="9"/>
    </row>
  </sheetData>
  <conditionalFormatting sqref="A8:E64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November 8, 2024 8:55 AM&amp;R&amp;"-,Regular"&amp;7Page : &amp;"-,Regular"&amp;7&amp;P&amp;"-,Regular"&amp;7 of &amp;"-,Regular"&amp;7&amp;N</oddFooter>
    <evenFooter>&amp;L&amp;"-,Regular"&amp;7Created On: Friday, November 8, 2024 8:55 AM&amp;R&amp;"-,Regular"&amp;7Page : &amp;"-,Regular"&amp;7&amp;P&amp;"-,Regular"&amp;7 of &amp;"-,Regular"&amp;7&amp;N</evenFooter>
    <firstFooter>&amp;L&amp;"-,Regular"&amp;7Created On: Friday, November 8, 2024 8:55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A2AD-2FD4-406B-9782-B1B378848AD1}">
  <sheetPr>
    <pageSetUpPr fitToPage="1"/>
  </sheetPr>
  <dimension ref="A1:E90"/>
  <sheetViews>
    <sheetView workbookViewId="0">
      <pane ySplit="7" topLeftCell="A67" activePane="bottomLeft" state="frozenSplit"/>
      <selection activeCell="A87" sqref="A87:XFD87"/>
      <selection pane="bottomLeft" activeCell="A87" sqref="A87:XFD87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183</v>
      </c>
      <c r="B2" s="2"/>
      <c r="C2" s="2"/>
      <c r="D2" s="2"/>
      <c r="E2" s="2"/>
    </row>
    <row r="3" spans="1:5" ht="15" x14ac:dyDescent="0.25">
      <c r="A3" s="2" t="s">
        <v>181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1369476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260980</v>
      </c>
      <c r="C9" s="6">
        <v>75303</v>
      </c>
      <c r="D9" s="6">
        <v>75303</v>
      </c>
      <c r="E9" s="6">
        <v>0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2416652</v>
      </c>
      <c r="C11" s="6">
        <v>731348</v>
      </c>
      <c r="D11" s="6">
        <v>179576</v>
      </c>
      <c r="E11" s="6">
        <v>551772</v>
      </c>
    </row>
    <row r="12" spans="1:5" ht="15" x14ac:dyDescent="0.25">
      <c r="A12" s="5" t="s">
        <v>12</v>
      </c>
      <c r="B12" s="6">
        <v>1013884</v>
      </c>
      <c r="C12" s="6">
        <v>321090</v>
      </c>
      <c r="D12" s="6">
        <v>304063</v>
      </c>
      <c r="E12" s="6">
        <v>17027</v>
      </c>
    </row>
    <row r="13" spans="1:5" ht="15" x14ac:dyDescent="0.25">
      <c r="A13" s="5" t="s">
        <v>13</v>
      </c>
      <c r="B13" s="6">
        <v>15349930</v>
      </c>
      <c r="C13" s="6">
        <v>5310435</v>
      </c>
      <c r="D13" s="6">
        <v>5278871</v>
      </c>
      <c r="E13" s="6">
        <v>31564</v>
      </c>
    </row>
    <row r="14" spans="1:5" ht="15" x14ac:dyDescent="0.25">
      <c r="A14" s="5" t="s">
        <v>14</v>
      </c>
      <c r="B14" s="6">
        <v>1714484</v>
      </c>
      <c r="C14" s="6">
        <v>634673</v>
      </c>
      <c r="D14" s="6">
        <v>622189</v>
      </c>
      <c r="E14" s="6">
        <v>12484</v>
      </c>
    </row>
    <row r="15" spans="1:5" ht="15" x14ac:dyDescent="0.25">
      <c r="A15" s="5" t="s">
        <v>15</v>
      </c>
      <c r="B15" s="6">
        <v>1185782</v>
      </c>
      <c r="C15" s="6">
        <v>378824</v>
      </c>
      <c r="D15" s="6">
        <v>347405</v>
      </c>
      <c r="E15" s="6">
        <v>31419</v>
      </c>
    </row>
    <row r="16" spans="1:5" ht="15" x14ac:dyDescent="0.25">
      <c r="A16" s="5" t="s">
        <v>16</v>
      </c>
      <c r="B16" s="6">
        <v>299838</v>
      </c>
      <c r="C16" s="6">
        <v>102208</v>
      </c>
      <c r="D16" s="6">
        <v>16231</v>
      </c>
      <c r="E16" s="6">
        <v>85977</v>
      </c>
    </row>
    <row r="17" spans="1:5" ht="15" x14ac:dyDescent="0.25">
      <c r="A17" s="5" t="s">
        <v>17</v>
      </c>
      <c r="B17" s="6">
        <v>296120</v>
      </c>
      <c r="C17" s="6">
        <v>141866</v>
      </c>
      <c r="D17" s="6">
        <v>95669</v>
      </c>
      <c r="E17" s="6">
        <v>46197</v>
      </c>
    </row>
    <row r="18" spans="1:5" ht="15" x14ac:dyDescent="0.25">
      <c r="A18" s="5" t="s">
        <v>18</v>
      </c>
      <c r="B18" s="6">
        <v>5467079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2613065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44264</v>
      </c>
      <c r="C20" s="6">
        <v>6120</v>
      </c>
      <c r="D20" s="6" t="s">
        <v>8</v>
      </c>
      <c r="E20" s="6">
        <v>6120</v>
      </c>
    </row>
    <row r="21" spans="1:5" ht="15" x14ac:dyDescent="0.25">
      <c r="A21" s="5" t="s">
        <v>21</v>
      </c>
      <c r="B21" s="6">
        <v>468353</v>
      </c>
      <c r="C21" s="6">
        <v>187917</v>
      </c>
      <c r="D21" s="6">
        <v>31838</v>
      </c>
      <c r="E21" s="6">
        <v>156079</v>
      </c>
    </row>
    <row r="22" spans="1:5" ht="15" x14ac:dyDescent="0.25">
      <c r="A22" s="5" t="s">
        <v>22</v>
      </c>
      <c r="B22" s="6">
        <v>458235</v>
      </c>
      <c r="C22" s="6">
        <v>139272</v>
      </c>
      <c r="D22" s="6">
        <v>139272</v>
      </c>
      <c r="E22" s="6">
        <v>0</v>
      </c>
    </row>
    <row r="23" spans="1:5" ht="15" x14ac:dyDescent="0.25">
      <c r="A23" s="5" t="s">
        <v>23</v>
      </c>
      <c r="B23" s="6">
        <v>3447030</v>
      </c>
      <c r="C23" s="6">
        <v>1000174</v>
      </c>
      <c r="D23" s="6">
        <v>920654</v>
      </c>
      <c r="E23" s="6">
        <v>79520</v>
      </c>
    </row>
    <row r="24" spans="1:5" ht="15" x14ac:dyDescent="0.25">
      <c r="A24" s="5" t="s">
        <v>24</v>
      </c>
      <c r="B24" s="6">
        <v>2108899</v>
      </c>
      <c r="C24" s="6">
        <v>621690</v>
      </c>
      <c r="D24" s="6">
        <v>621690</v>
      </c>
      <c r="E24" s="6">
        <v>0</v>
      </c>
    </row>
    <row r="25" spans="1:5" ht="15" x14ac:dyDescent="0.25">
      <c r="A25" s="5" t="s">
        <v>25</v>
      </c>
      <c r="B25" s="6">
        <v>805012</v>
      </c>
      <c r="C25" s="6">
        <v>266395</v>
      </c>
      <c r="D25" s="6">
        <v>200428</v>
      </c>
      <c r="E25" s="6">
        <v>65967</v>
      </c>
    </row>
    <row r="26" spans="1:5" ht="15" x14ac:dyDescent="0.25">
      <c r="A26" s="5" t="s">
        <v>26</v>
      </c>
      <c r="B26" s="6">
        <v>455361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1614022</v>
      </c>
      <c r="C27" s="6">
        <v>668074</v>
      </c>
      <c r="D27" s="6">
        <v>668074</v>
      </c>
      <c r="E27" s="6">
        <v>0</v>
      </c>
    </row>
    <row r="28" spans="1:5" ht="15" x14ac:dyDescent="0.25">
      <c r="A28" s="5" t="s">
        <v>28</v>
      </c>
      <c r="B28" s="6">
        <v>2060397</v>
      </c>
      <c r="C28" s="6">
        <v>785687</v>
      </c>
      <c r="D28" s="6">
        <v>785687</v>
      </c>
      <c r="E28" s="6">
        <v>0</v>
      </c>
    </row>
    <row r="29" spans="1:5" ht="15" x14ac:dyDescent="0.25">
      <c r="A29" s="5" t="s">
        <v>29</v>
      </c>
      <c r="B29" s="6">
        <v>411665</v>
      </c>
      <c r="C29" s="6">
        <v>116131</v>
      </c>
      <c r="D29" s="6">
        <v>92647</v>
      </c>
      <c r="E29" s="6">
        <v>23484</v>
      </c>
    </row>
    <row r="30" spans="1:5" ht="15" x14ac:dyDescent="0.25">
      <c r="A30" s="5" t="s">
        <v>30</v>
      </c>
      <c r="B30" s="6">
        <v>1620593</v>
      </c>
      <c r="C30" s="6">
        <v>468979</v>
      </c>
      <c r="D30" s="6">
        <v>468979</v>
      </c>
      <c r="E30" s="6">
        <v>0</v>
      </c>
    </row>
    <row r="31" spans="1:5" ht="15" x14ac:dyDescent="0.25">
      <c r="A31" s="5" t="s">
        <v>31</v>
      </c>
      <c r="B31" s="6">
        <v>2276291</v>
      </c>
      <c r="C31" s="6">
        <v>509436</v>
      </c>
      <c r="D31" s="6">
        <v>0</v>
      </c>
      <c r="E31" s="6">
        <v>509436</v>
      </c>
    </row>
    <row r="32" spans="1:5" ht="15" x14ac:dyDescent="0.25">
      <c r="A32" s="5" t="s">
        <v>32</v>
      </c>
      <c r="B32" s="6">
        <v>3108893</v>
      </c>
      <c r="C32" s="6">
        <v>1087689</v>
      </c>
      <c r="D32" s="6">
        <v>1013331</v>
      </c>
      <c r="E32" s="6">
        <v>74358</v>
      </c>
    </row>
    <row r="33" spans="1:5" ht="15" x14ac:dyDescent="0.25">
      <c r="A33" s="5" t="s">
        <v>33</v>
      </c>
      <c r="B33" s="6">
        <v>1422726</v>
      </c>
      <c r="C33" s="6">
        <v>325568</v>
      </c>
      <c r="D33" s="6">
        <v>325568</v>
      </c>
      <c r="E33" s="6">
        <v>0</v>
      </c>
    </row>
    <row r="34" spans="1:5" ht="15" x14ac:dyDescent="0.25">
      <c r="A34" s="5" t="s">
        <v>34</v>
      </c>
      <c r="B34" s="6">
        <v>859846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1502781</v>
      </c>
      <c r="C35" s="6">
        <v>351849</v>
      </c>
      <c r="D35" s="6">
        <v>351849</v>
      </c>
      <c r="E35" s="6">
        <v>0</v>
      </c>
    </row>
    <row r="36" spans="1:5" ht="15" x14ac:dyDescent="0.25">
      <c r="A36" s="5" t="s">
        <v>36</v>
      </c>
      <c r="B36" s="6">
        <v>314559</v>
      </c>
      <c r="C36" s="6">
        <v>124930</v>
      </c>
      <c r="D36" s="6">
        <v>124930</v>
      </c>
      <c r="E36" s="6">
        <v>0</v>
      </c>
    </row>
    <row r="37" spans="1:5" ht="15" x14ac:dyDescent="0.25">
      <c r="A37" s="5" t="s">
        <v>37</v>
      </c>
      <c r="B37" s="6">
        <v>18130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401417</v>
      </c>
      <c r="C38" s="6">
        <v>85958</v>
      </c>
      <c r="D38" s="6">
        <v>84095</v>
      </c>
      <c r="E38" s="6">
        <v>1863</v>
      </c>
    </row>
    <row r="39" spans="1:5" ht="15" x14ac:dyDescent="0.25">
      <c r="A39" s="5" t="s">
        <v>39</v>
      </c>
      <c r="B39" s="6">
        <v>847597</v>
      </c>
      <c r="C39" s="6">
        <v>385432</v>
      </c>
      <c r="D39" s="6">
        <v>385432</v>
      </c>
      <c r="E39" s="6">
        <v>0</v>
      </c>
    </row>
    <row r="40" spans="1:5" ht="15" x14ac:dyDescent="0.25">
      <c r="A40" s="5" t="s">
        <v>40</v>
      </c>
      <c r="B40" s="6">
        <v>211889</v>
      </c>
      <c r="C40" s="6">
        <v>79005</v>
      </c>
      <c r="D40" s="6">
        <v>78552</v>
      </c>
      <c r="E40" s="6">
        <v>453</v>
      </c>
    </row>
    <row r="41" spans="1:5" ht="15" x14ac:dyDescent="0.25">
      <c r="A41" s="5" t="s">
        <v>41</v>
      </c>
      <c r="B41" s="6">
        <v>2152699</v>
      </c>
      <c r="C41" s="6">
        <v>779202</v>
      </c>
      <c r="D41" s="6">
        <v>779202</v>
      </c>
      <c r="E41" s="6">
        <v>0</v>
      </c>
    </row>
    <row r="42" spans="1:5" ht="15" x14ac:dyDescent="0.25">
      <c r="A42" s="5" t="s">
        <v>42</v>
      </c>
      <c r="B42" s="6">
        <v>971345</v>
      </c>
      <c r="C42" s="6">
        <v>303515</v>
      </c>
      <c r="D42" s="6">
        <v>303515</v>
      </c>
      <c r="E42" s="6">
        <v>0</v>
      </c>
    </row>
    <row r="43" spans="1:5" ht="15" x14ac:dyDescent="0.25">
      <c r="A43" s="5" t="s">
        <v>43</v>
      </c>
      <c r="B43" s="6">
        <v>7951095</v>
      </c>
      <c r="C43" s="6">
        <v>2578281</v>
      </c>
      <c r="D43" s="6">
        <v>442568</v>
      </c>
      <c r="E43" s="6">
        <v>2135713</v>
      </c>
    </row>
    <row r="44" spans="1:5" ht="15" x14ac:dyDescent="0.25">
      <c r="A44" s="5" t="s">
        <v>44</v>
      </c>
      <c r="B44" s="6">
        <v>3032122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137681</v>
      </c>
      <c r="C45" s="6">
        <v>38178</v>
      </c>
      <c r="D45" s="6">
        <v>36238</v>
      </c>
      <c r="E45" s="6">
        <v>1940</v>
      </c>
    </row>
    <row r="46" spans="1:5" ht="15" x14ac:dyDescent="0.25">
      <c r="A46" s="5" t="s">
        <v>46</v>
      </c>
      <c r="B46" s="6">
        <v>3620472</v>
      </c>
      <c r="C46" s="6">
        <v>911166</v>
      </c>
      <c r="D46" s="6">
        <v>910904</v>
      </c>
      <c r="E46" s="6">
        <v>262</v>
      </c>
    </row>
    <row r="47" spans="1:5" ht="15" x14ac:dyDescent="0.25">
      <c r="A47" s="5" t="s">
        <v>47</v>
      </c>
      <c r="B47" s="6">
        <v>1243373</v>
      </c>
      <c r="C47" s="6">
        <v>389919</v>
      </c>
      <c r="D47" s="6">
        <v>389919</v>
      </c>
      <c r="E47" s="6">
        <v>0</v>
      </c>
    </row>
    <row r="48" spans="1:5" ht="15" x14ac:dyDescent="0.25">
      <c r="A48" s="5" t="s">
        <v>48</v>
      </c>
      <c r="B48" s="6">
        <v>1342748</v>
      </c>
      <c r="C48" s="6">
        <v>755546</v>
      </c>
      <c r="D48" s="6">
        <v>646138</v>
      </c>
      <c r="E48" s="6">
        <v>109408</v>
      </c>
    </row>
    <row r="49" spans="1:5" ht="15" x14ac:dyDescent="0.25">
      <c r="A49" s="5" t="s">
        <v>49</v>
      </c>
      <c r="B49" s="6">
        <v>3697514</v>
      </c>
      <c r="C49" s="6">
        <v>1204885</v>
      </c>
      <c r="D49" s="6">
        <v>1136688</v>
      </c>
      <c r="E49" s="6">
        <v>68197</v>
      </c>
    </row>
    <row r="50" spans="1:5" ht="15" x14ac:dyDescent="0.25">
      <c r="A50" s="5" t="s">
        <v>50</v>
      </c>
      <c r="B50" s="6">
        <v>1529277</v>
      </c>
      <c r="C50" s="6">
        <v>693453</v>
      </c>
      <c r="D50" s="6" t="s">
        <v>8</v>
      </c>
      <c r="E50" s="6">
        <v>693453</v>
      </c>
    </row>
    <row r="51" spans="1:5" ht="15" x14ac:dyDescent="0.25">
      <c r="A51" s="5" t="s">
        <v>51</v>
      </c>
      <c r="B51" s="6">
        <v>362933</v>
      </c>
      <c r="C51" s="6">
        <v>103854</v>
      </c>
      <c r="D51" s="6">
        <v>103854</v>
      </c>
      <c r="E51" s="6">
        <v>0</v>
      </c>
    </row>
    <row r="52" spans="1:5" ht="15" x14ac:dyDescent="0.25">
      <c r="A52" s="5" t="s">
        <v>52</v>
      </c>
      <c r="B52" s="6">
        <v>1623278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118286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1905133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6259204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513628</v>
      </c>
      <c r="C56" s="6">
        <v>142592</v>
      </c>
      <c r="D56" s="6">
        <v>141631</v>
      </c>
      <c r="E56" s="6">
        <v>961</v>
      </c>
    </row>
    <row r="57" spans="1:5" ht="15" x14ac:dyDescent="0.25">
      <c r="A57" s="5" t="s">
        <v>57</v>
      </c>
      <c r="B57" s="6">
        <v>204126</v>
      </c>
      <c r="C57" s="6">
        <v>88886</v>
      </c>
      <c r="D57" s="6">
        <v>0</v>
      </c>
      <c r="E57" s="6">
        <v>88886</v>
      </c>
    </row>
    <row r="58" spans="1:5" ht="15" x14ac:dyDescent="0.25">
      <c r="A58" s="5" t="s">
        <v>58</v>
      </c>
      <c r="B58" s="6">
        <v>38353</v>
      </c>
      <c r="C58" s="6">
        <v>19136</v>
      </c>
      <c r="D58" s="6" t="s">
        <v>8</v>
      </c>
      <c r="E58" s="6">
        <v>19136</v>
      </c>
    </row>
    <row r="59" spans="1:5" ht="15" x14ac:dyDescent="0.25">
      <c r="A59" s="5" t="s">
        <v>59</v>
      </c>
      <c r="B59" s="6">
        <v>2001357</v>
      </c>
      <c r="C59" s="6">
        <v>751835</v>
      </c>
      <c r="D59" s="6">
        <v>751835</v>
      </c>
      <c r="E59" s="6">
        <v>0</v>
      </c>
    </row>
    <row r="60" spans="1:5" ht="15" x14ac:dyDescent="0.25">
      <c r="A60" s="5" t="s">
        <v>60</v>
      </c>
      <c r="B60" s="6">
        <v>2215720</v>
      </c>
      <c r="C60" s="6">
        <v>859189</v>
      </c>
      <c r="D60" s="6">
        <v>838930</v>
      </c>
      <c r="E60" s="6">
        <v>20259</v>
      </c>
    </row>
    <row r="61" spans="1:5" ht="15" x14ac:dyDescent="0.25">
      <c r="A61" s="5" t="s">
        <v>61</v>
      </c>
      <c r="B61" s="6">
        <v>651725</v>
      </c>
      <c r="C61" s="6">
        <v>243479</v>
      </c>
      <c r="D61" s="6">
        <v>243479</v>
      </c>
      <c r="E61" s="6">
        <v>0</v>
      </c>
    </row>
    <row r="62" spans="1:5" ht="15" x14ac:dyDescent="0.25">
      <c r="A62" s="5" t="s">
        <v>62</v>
      </c>
      <c r="B62" s="6">
        <v>1594996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88565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99734767</v>
      </c>
      <c r="C64" s="8">
        <f>SUM(C8:C63)</f>
        <v>24769169</v>
      </c>
      <c r="D64" s="8">
        <f>SUM(D8:D63)</f>
        <v>19937234</v>
      </c>
      <c r="E64" s="8">
        <f>SUM(E8:E63)</f>
        <v>4831935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  <row r="90" spans="1:1" x14ac:dyDescent="0.25">
      <c r="A90" s="9"/>
    </row>
  </sheetData>
  <conditionalFormatting sqref="A8:E64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November 8, 2024 8:55 AM&amp;R&amp;"-,Regular"&amp;7Page : &amp;"-,Regular"&amp;7&amp;P&amp;"-,Regular"&amp;7 of &amp;"-,Regular"&amp;7&amp;N</oddFooter>
    <evenFooter>&amp;L&amp;"-,Regular"&amp;7Created On: Friday, November 8, 2024 8:55 AM&amp;R&amp;"-,Regular"&amp;7Page : &amp;"-,Regular"&amp;7&amp;P&amp;"-,Regular"&amp;7 of &amp;"-,Regular"&amp;7&amp;N</evenFooter>
    <firstFooter>&amp;L&amp;"-,Regular"&amp;7Created On: Friday, November 8, 2024 8:55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8C50-FC30-43A4-80C0-9063074E8866}">
  <sheetPr>
    <pageSetUpPr fitToPage="1"/>
  </sheetPr>
  <dimension ref="A1:E90"/>
  <sheetViews>
    <sheetView workbookViewId="0">
      <pane ySplit="7" topLeftCell="A8" activePane="bottomLeft" state="frozenSplit"/>
      <selection activeCell="A87" sqref="A87:XFD87"/>
      <selection pane="bottomLeft" activeCell="A87" sqref="A87:XFD87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184</v>
      </c>
      <c r="B2" s="2"/>
      <c r="C2" s="2"/>
      <c r="D2" s="2"/>
      <c r="E2" s="2"/>
    </row>
    <row r="3" spans="1:5" ht="15" x14ac:dyDescent="0.25">
      <c r="A3" s="2" t="s">
        <v>181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1375674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258255</v>
      </c>
      <c r="C9" s="6">
        <v>74884</v>
      </c>
      <c r="D9" s="6">
        <v>74884</v>
      </c>
      <c r="E9" s="6">
        <v>0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2312940</v>
      </c>
      <c r="C11" s="6">
        <v>697900</v>
      </c>
      <c r="D11" s="6">
        <v>153761</v>
      </c>
      <c r="E11" s="6">
        <v>544139</v>
      </c>
    </row>
    <row r="12" spans="1:5" ht="15" x14ac:dyDescent="0.25">
      <c r="A12" s="5" t="s">
        <v>12</v>
      </c>
      <c r="B12" s="6">
        <v>967900</v>
      </c>
      <c r="C12" s="6">
        <v>301705</v>
      </c>
      <c r="D12" s="6">
        <v>287213</v>
      </c>
      <c r="E12" s="6">
        <v>14492</v>
      </c>
    </row>
    <row r="13" spans="1:5" ht="15" x14ac:dyDescent="0.25">
      <c r="A13" s="5" t="s">
        <v>13</v>
      </c>
      <c r="B13" s="6">
        <v>15351682</v>
      </c>
      <c r="C13" s="6">
        <v>5331821</v>
      </c>
      <c r="D13" s="6">
        <v>5300193</v>
      </c>
      <c r="E13" s="6">
        <v>31628</v>
      </c>
    </row>
    <row r="14" spans="1:5" ht="15" x14ac:dyDescent="0.25">
      <c r="A14" s="5" t="s">
        <v>14</v>
      </c>
      <c r="B14" s="6">
        <v>1679466</v>
      </c>
      <c r="C14" s="6">
        <v>618978</v>
      </c>
      <c r="D14" s="6">
        <v>606775</v>
      </c>
      <c r="E14" s="6">
        <v>12203</v>
      </c>
    </row>
    <row r="15" spans="1:5" ht="15" x14ac:dyDescent="0.25">
      <c r="A15" s="5" t="s">
        <v>15</v>
      </c>
      <c r="B15" s="6">
        <v>1167454</v>
      </c>
      <c r="C15" s="6">
        <v>374175</v>
      </c>
      <c r="D15" s="6">
        <v>343166</v>
      </c>
      <c r="E15" s="6">
        <v>31009</v>
      </c>
    </row>
    <row r="16" spans="1:5" ht="15" x14ac:dyDescent="0.25">
      <c r="A16" s="5" t="s">
        <v>16</v>
      </c>
      <c r="B16" s="6">
        <v>300155</v>
      </c>
      <c r="C16" s="6">
        <v>102218</v>
      </c>
      <c r="D16" s="6">
        <v>16111</v>
      </c>
      <c r="E16" s="6">
        <v>86107</v>
      </c>
    </row>
    <row r="17" spans="1:5" ht="15" x14ac:dyDescent="0.25">
      <c r="A17" s="5" t="s">
        <v>17</v>
      </c>
      <c r="B17" s="6">
        <v>295477</v>
      </c>
      <c r="C17" s="6">
        <v>140711</v>
      </c>
      <c r="D17" s="6">
        <v>94605</v>
      </c>
      <c r="E17" s="6">
        <v>46106</v>
      </c>
    </row>
    <row r="18" spans="1:5" ht="15" x14ac:dyDescent="0.25">
      <c r="A18" s="5" t="s">
        <v>18</v>
      </c>
      <c r="B18" s="6">
        <v>5419363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2613085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43574</v>
      </c>
      <c r="C20" s="6">
        <v>6005</v>
      </c>
      <c r="D20" s="6" t="s">
        <v>8</v>
      </c>
      <c r="E20" s="6">
        <v>6005</v>
      </c>
    </row>
    <row r="21" spans="1:5" ht="15" x14ac:dyDescent="0.25">
      <c r="A21" s="5" t="s">
        <v>21</v>
      </c>
      <c r="B21" s="6">
        <v>469435</v>
      </c>
      <c r="C21" s="6">
        <v>186071</v>
      </c>
      <c r="D21" s="6">
        <v>31361</v>
      </c>
      <c r="E21" s="6">
        <v>154710</v>
      </c>
    </row>
    <row r="22" spans="1:5" ht="15" x14ac:dyDescent="0.25">
      <c r="A22" s="5" t="s">
        <v>22</v>
      </c>
      <c r="B22" s="6">
        <v>407741</v>
      </c>
      <c r="C22" s="6">
        <v>116974</v>
      </c>
      <c r="D22" s="6">
        <v>116974</v>
      </c>
      <c r="E22" s="6">
        <v>0</v>
      </c>
    </row>
    <row r="23" spans="1:5" ht="15" x14ac:dyDescent="0.25">
      <c r="A23" s="5" t="s">
        <v>23</v>
      </c>
      <c r="B23" s="6">
        <v>3460731</v>
      </c>
      <c r="C23" s="6">
        <v>1005220</v>
      </c>
      <c r="D23" s="6">
        <v>925641</v>
      </c>
      <c r="E23" s="6">
        <v>79579</v>
      </c>
    </row>
    <row r="24" spans="1:5" ht="15" x14ac:dyDescent="0.25">
      <c r="A24" s="5" t="s">
        <v>24</v>
      </c>
      <c r="B24" s="6">
        <v>2050762</v>
      </c>
      <c r="C24" s="6">
        <v>604263</v>
      </c>
      <c r="D24" s="6">
        <v>604263</v>
      </c>
      <c r="E24" s="6">
        <v>0</v>
      </c>
    </row>
    <row r="25" spans="1:5" ht="15" x14ac:dyDescent="0.25">
      <c r="A25" s="5" t="s">
        <v>25</v>
      </c>
      <c r="B25" s="6">
        <v>769742</v>
      </c>
      <c r="C25" s="6">
        <v>249804</v>
      </c>
      <c r="D25" s="6">
        <v>193675</v>
      </c>
      <c r="E25" s="6">
        <v>56129</v>
      </c>
    </row>
    <row r="26" spans="1:5" ht="15" x14ac:dyDescent="0.25">
      <c r="A26" s="5" t="s">
        <v>26</v>
      </c>
      <c r="B26" s="6">
        <v>453079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1580286</v>
      </c>
      <c r="C27" s="6">
        <v>644691</v>
      </c>
      <c r="D27" s="6">
        <v>644691</v>
      </c>
      <c r="E27" s="6">
        <v>0</v>
      </c>
    </row>
    <row r="28" spans="1:5" ht="15" x14ac:dyDescent="0.25">
      <c r="A28" s="5" t="s">
        <v>28</v>
      </c>
      <c r="B28" s="6">
        <v>2053888</v>
      </c>
      <c r="C28" s="6">
        <v>786670</v>
      </c>
      <c r="D28" s="6">
        <v>786670</v>
      </c>
      <c r="E28" s="6">
        <v>0</v>
      </c>
    </row>
    <row r="29" spans="1:5" ht="15" x14ac:dyDescent="0.25">
      <c r="A29" s="5" t="s">
        <v>29</v>
      </c>
      <c r="B29" s="6">
        <v>411101</v>
      </c>
      <c r="C29" s="6">
        <v>116816</v>
      </c>
      <c r="D29" s="6">
        <v>93260</v>
      </c>
      <c r="E29" s="6">
        <v>23556</v>
      </c>
    </row>
    <row r="30" spans="1:5" ht="15" x14ac:dyDescent="0.25">
      <c r="A30" s="5" t="s">
        <v>30</v>
      </c>
      <c r="B30" s="6">
        <v>1609764</v>
      </c>
      <c r="C30" s="6">
        <v>466465</v>
      </c>
      <c r="D30" s="6">
        <v>466465</v>
      </c>
      <c r="E30" s="6">
        <v>0</v>
      </c>
    </row>
    <row r="31" spans="1:5" ht="15" x14ac:dyDescent="0.25">
      <c r="A31" s="5" t="s">
        <v>31</v>
      </c>
      <c r="B31" s="6">
        <v>2282087</v>
      </c>
      <c r="C31" s="6">
        <v>507451</v>
      </c>
      <c r="D31" s="6">
        <v>0</v>
      </c>
      <c r="E31" s="6">
        <v>507451</v>
      </c>
    </row>
    <row r="32" spans="1:5" ht="15" x14ac:dyDescent="0.25">
      <c r="A32" s="5" t="s">
        <v>32</v>
      </c>
      <c r="B32" s="6">
        <v>3122129</v>
      </c>
      <c r="C32" s="6">
        <v>1093392</v>
      </c>
      <c r="D32" s="6">
        <v>1018159</v>
      </c>
      <c r="E32" s="6">
        <v>75233</v>
      </c>
    </row>
    <row r="33" spans="1:5" ht="15" x14ac:dyDescent="0.25">
      <c r="A33" s="5" t="s">
        <v>33</v>
      </c>
      <c r="B33" s="6">
        <v>1423199</v>
      </c>
      <c r="C33" s="6">
        <v>327246</v>
      </c>
      <c r="D33" s="6">
        <v>327246</v>
      </c>
      <c r="E33" s="6">
        <v>0</v>
      </c>
    </row>
    <row r="34" spans="1:5" ht="15" x14ac:dyDescent="0.25">
      <c r="A34" s="5" t="s">
        <v>34</v>
      </c>
      <c r="B34" s="6">
        <v>862377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1501975</v>
      </c>
      <c r="C35" s="6">
        <v>354187</v>
      </c>
      <c r="D35" s="6">
        <v>354187</v>
      </c>
      <c r="E35" s="6">
        <v>0</v>
      </c>
    </row>
    <row r="36" spans="1:5" ht="15" x14ac:dyDescent="0.25">
      <c r="A36" s="5" t="s">
        <v>36</v>
      </c>
      <c r="B36" s="6">
        <v>301688</v>
      </c>
      <c r="C36" s="6">
        <v>118576</v>
      </c>
      <c r="D36" s="6">
        <v>118576</v>
      </c>
      <c r="E36" s="6">
        <v>0</v>
      </c>
    </row>
    <row r="37" spans="1:5" ht="15" x14ac:dyDescent="0.25">
      <c r="A37" s="5" t="s">
        <v>37</v>
      </c>
      <c r="B37" s="6">
        <v>17467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400691</v>
      </c>
      <c r="C38" s="6">
        <v>86112</v>
      </c>
      <c r="D38" s="6">
        <v>84200</v>
      </c>
      <c r="E38" s="6">
        <v>1912</v>
      </c>
    </row>
    <row r="39" spans="1:5" ht="15" x14ac:dyDescent="0.25">
      <c r="A39" s="5" t="s">
        <v>39</v>
      </c>
      <c r="B39" s="6">
        <v>855675</v>
      </c>
      <c r="C39" s="6">
        <v>384792</v>
      </c>
      <c r="D39" s="6">
        <v>384792</v>
      </c>
      <c r="E39" s="6">
        <v>0</v>
      </c>
    </row>
    <row r="40" spans="1:5" ht="15" x14ac:dyDescent="0.25">
      <c r="A40" s="5" t="s">
        <v>40</v>
      </c>
      <c r="B40" s="6">
        <v>201372</v>
      </c>
      <c r="C40" s="6">
        <v>71849</v>
      </c>
      <c r="D40" s="6">
        <v>71399</v>
      </c>
      <c r="E40" s="6">
        <v>450</v>
      </c>
    </row>
    <row r="41" spans="1:5" ht="15" x14ac:dyDescent="0.25">
      <c r="A41" s="5" t="s">
        <v>41</v>
      </c>
      <c r="B41" s="6">
        <v>2164687</v>
      </c>
      <c r="C41" s="6">
        <v>783190</v>
      </c>
      <c r="D41" s="6">
        <v>783190</v>
      </c>
      <c r="E41" s="6">
        <v>0</v>
      </c>
    </row>
    <row r="42" spans="1:5" ht="15" x14ac:dyDescent="0.25">
      <c r="A42" s="5" t="s">
        <v>42</v>
      </c>
      <c r="B42" s="6">
        <v>936684</v>
      </c>
      <c r="C42" s="6">
        <v>293364</v>
      </c>
      <c r="D42" s="6">
        <v>293364</v>
      </c>
      <c r="E42" s="6">
        <v>0</v>
      </c>
    </row>
    <row r="43" spans="1:5" ht="15" x14ac:dyDescent="0.25">
      <c r="A43" s="5" t="s">
        <v>43</v>
      </c>
      <c r="B43" s="6">
        <v>7983170</v>
      </c>
      <c r="C43" s="6">
        <v>2602930</v>
      </c>
      <c r="D43" s="6">
        <v>444849</v>
      </c>
      <c r="E43" s="6">
        <v>2158081</v>
      </c>
    </row>
    <row r="44" spans="1:5" ht="15" x14ac:dyDescent="0.25">
      <c r="A44" s="5" t="s">
        <v>44</v>
      </c>
      <c r="B44" s="6">
        <v>2986178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133630</v>
      </c>
      <c r="C45" s="6">
        <v>36680</v>
      </c>
      <c r="D45" s="6">
        <v>34824</v>
      </c>
      <c r="E45" s="6">
        <v>1856</v>
      </c>
    </row>
    <row r="46" spans="1:5" ht="15" x14ac:dyDescent="0.25">
      <c r="A46" s="5" t="s">
        <v>46</v>
      </c>
      <c r="B46" s="6">
        <v>3582023</v>
      </c>
      <c r="C46" s="6">
        <v>898858</v>
      </c>
      <c r="D46" s="6">
        <v>898607</v>
      </c>
      <c r="E46" s="6">
        <v>251</v>
      </c>
    </row>
    <row r="47" spans="1:5" ht="15" x14ac:dyDescent="0.25">
      <c r="A47" s="5" t="s">
        <v>47</v>
      </c>
      <c r="B47" s="6">
        <v>1221820</v>
      </c>
      <c r="C47" s="6">
        <v>371132</v>
      </c>
      <c r="D47" s="6">
        <v>371132</v>
      </c>
      <c r="E47" s="6">
        <v>0</v>
      </c>
    </row>
    <row r="48" spans="1:5" ht="15" x14ac:dyDescent="0.25">
      <c r="A48" s="5" t="s">
        <v>48</v>
      </c>
      <c r="B48" s="6">
        <v>1345939</v>
      </c>
      <c r="C48" s="6">
        <v>758205</v>
      </c>
      <c r="D48" s="6">
        <v>649507</v>
      </c>
      <c r="E48" s="6">
        <v>108698</v>
      </c>
    </row>
    <row r="49" spans="1:5" ht="15" x14ac:dyDescent="0.25">
      <c r="A49" s="5" t="s">
        <v>49</v>
      </c>
      <c r="B49" s="6">
        <v>3645268</v>
      </c>
      <c r="C49" s="6">
        <v>1180336</v>
      </c>
      <c r="D49" s="6">
        <v>1113803</v>
      </c>
      <c r="E49" s="6">
        <v>66533</v>
      </c>
    </row>
    <row r="50" spans="1:5" ht="15" x14ac:dyDescent="0.25">
      <c r="A50" s="5" t="s">
        <v>50</v>
      </c>
      <c r="B50" s="6">
        <v>1528170</v>
      </c>
      <c r="C50" s="6">
        <v>691626</v>
      </c>
      <c r="D50" s="6" t="s">
        <v>8</v>
      </c>
      <c r="E50" s="6">
        <v>691626</v>
      </c>
    </row>
    <row r="51" spans="1:5" ht="15" x14ac:dyDescent="0.25">
      <c r="A51" s="5" t="s">
        <v>51</v>
      </c>
      <c r="B51" s="6">
        <v>362284</v>
      </c>
      <c r="C51" s="6">
        <v>102613</v>
      </c>
      <c r="D51" s="6">
        <v>102613</v>
      </c>
      <c r="E51" s="6">
        <v>0</v>
      </c>
    </row>
    <row r="52" spans="1:5" ht="15" x14ac:dyDescent="0.25">
      <c r="A52" s="5" t="s">
        <v>52</v>
      </c>
      <c r="B52" s="6">
        <v>1544824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111158</v>
      </c>
      <c r="C53" s="6" t="s">
        <v>8</v>
      </c>
      <c r="D53" s="6" t="s">
        <v>8</v>
      </c>
      <c r="E53" s="6" t="s">
        <v>8</v>
      </c>
    </row>
    <row r="54" spans="1:5" ht="15" x14ac:dyDescent="0.25">
      <c r="A54" s="5" t="s">
        <v>54</v>
      </c>
      <c r="B54" s="6">
        <v>1904232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5913946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476834</v>
      </c>
      <c r="C56" s="6">
        <v>135032</v>
      </c>
      <c r="D56" s="6">
        <v>134074</v>
      </c>
      <c r="E56" s="6">
        <v>958</v>
      </c>
    </row>
    <row r="57" spans="1:5" ht="15" x14ac:dyDescent="0.25">
      <c r="A57" s="5" t="s">
        <v>57</v>
      </c>
      <c r="B57" s="6">
        <v>198389</v>
      </c>
      <c r="C57" s="6">
        <v>85360</v>
      </c>
      <c r="D57" s="6">
        <v>0</v>
      </c>
      <c r="E57" s="6">
        <v>85360</v>
      </c>
    </row>
    <row r="58" spans="1:5" ht="15" x14ac:dyDescent="0.25">
      <c r="A58" s="5" t="s">
        <v>58</v>
      </c>
      <c r="B58" s="6">
        <v>38489</v>
      </c>
      <c r="C58" s="6">
        <v>19230</v>
      </c>
      <c r="D58" s="6" t="s">
        <v>8</v>
      </c>
      <c r="E58" s="6">
        <v>19230</v>
      </c>
    </row>
    <row r="59" spans="1:5" ht="15" x14ac:dyDescent="0.25">
      <c r="A59" s="5" t="s">
        <v>59</v>
      </c>
      <c r="B59" s="6">
        <v>2007919</v>
      </c>
      <c r="C59" s="6">
        <v>757958</v>
      </c>
      <c r="D59" s="6">
        <v>757958</v>
      </c>
      <c r="E59" s="6">
        <v>0</v>
      </c>
    </row>
    <row r="60" spans="1:5" ht="15" x14ac:dyDescent="0.25">
      <c r="A60" s="5" t="s">
        <v>60</v>
      </c>
      <c r="B60" s="6">
        <v>2133317</v>
      </c>
      <c r="C60" s="6">
        <v>808394</v>
      </c>
      <c r="D60" s="6">
        <v>788137</v>
      </c>
      <c r="E60" s="6">
        <v>20257</v>
      </c>
    </row>
    <row r="61" spans="1:5" ht="15" x14ac:dyDescent="0.25">
      <c r="A61" s="5" t="s">
        <v>61</v>
      </c>
      <c r="B61" s="6">
        <v>627879</v>
      </c>
      <c r="C61" s="6">
        <v>232342</v>
      </c>
      <c r="D61" s="6">
        <v>232342</v>
      </c>
      <c r="E61" s="6">
        <v>0</v>
      </c>
    </row>
    <row r="62" spans="1:5" ht="15" x14ac:dyDescent="0.25">
      <c r="A62" s="5" t="s">
        <v>62</v>
      </c>
      <c r="B62" s="6">
        <v>1540815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88092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98529848</v>
      </c>
      <c r="C64" s="8">
        <f>SUM(C8:C63)</f>
        <v>24526226</v>
      </c>
      <c r="D64" s="8">
        <f>SUM(D8:D63)</f>
        <v>19702667</v>
      </c>
      <c r="E64" s="8">
        <f>SUM(E8:E63)</f>
        <v>4823559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  <row r="90" spans="1:1" x14ac:dyDescent="0.25">
      <c r="A90" s="9"/>
    </row>
  </sheetData>
  <conditionalFormatting sqref="A8:E64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November 8, 2024 8:55 AM&amp;R&amp;"-,Regular"&amp;7Page : &amp;"-,Regular"&amp;7&amp;P&amp;"-,Regular"&amp;7 of &amp;"-,Regular"&amp;7&amp;N</oddFooter>
    <evenFooter>&amp;L&amp;"-,Regular"&amp;7Created On: Friday, November 8, 2024 8:55 AM&amp;R&amp;"-,Regular"&amp;7Page : &amp;"-,Regular"&amp;7&amp;P&amp;"-,Regular"&amp;7 of &amp;"-,Regular"&amp;7&amp;N</evenFooter>
    <firstFooter>&amp;L&amp;"-,Regular"&amp;7Created On: Friday, November 8, 2024 8:55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3D97-91A4-44DC-BAC7-68132205FBA4}">
  <sheetPr>
    <pageSetUpPr fitToPage="1"/>
  </sheetPr>
  <dimension ref="A1:E89"/>
  <sheetViews>
    <sheetView workbookViewId="0">
      <pane ySplit="7" topLeftCell="A32" activePane="bottomLeft" state="frozenSplit"/>
      <selection activeCell="C45" sqref="C45"/>
      <selection pane="bottomLeft" activeCell="C45" sqref="C4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186</v>
      </c>
      <c r="B2" s="2"/>
      <c r="C2" s="2"/>
      <c r="D2" s="2"/>
      <c r="E2" s="2"/>
    </row>
    <row r="3" spans="1:5" ht="15" x14ac:dyDescent="0.25">
      <c r="A3" s="2" t="s">
        <v>185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1353361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256483</v>
      </c>
      <c r="C9" s="6">
        <v>74688</v>
      </c>
      <c r="D9" s="6">
        <v>74687</v>
      </c>
      <c r="E9" s="6">
        <v>1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2271339</v>
      </c>
      <c r="C11" s="6">
        <v>673715</v>
      </c>
      <c r="D11" s="6">
        <v>142142</v>
      </c>
      <c r="E11" s="6">
        <v>531573</v>
      </c>
    </row>
    <row r="12" spans="1:5" ht="15" x14ac:dyDescent="0.25">
      <c r="A12" s="5" t="s">
        <v>12</v>
      </c>
      <c r="B12" s="6">
        <v>918743</v>
      </c>
      <c r="C12" s="6">
        <v>284753</v>
      </c>
      <c r="D12" s="6">
        <v>272364</v>
      </c>
      <c r="E12" s="6">
        <v>12389</v>
      </c>
    </row>
    <row r="13" spans="1:5" ht="15" x14ac:dyDescent="0.25">
      <c r="A13" s="5" t="s">
        <v>13</v>
      </c>
      <c r="B13" s="6">
        <v>15362807</v>
      </c>
      <c r="C13" s="6">
        <v>5322018</v>
      </c>
      <c r="D13" s="6">
        <v>5290778</v>
      </c>
      <c r="E13" s="6">
        <v>31240</v>
      </c>
    </row>
    <row r="14" spans="1:5" ht="15" x14ac:dyDescent="0.25">
      <c r="A14" s="5" t="s">
        <v>14</v>
      </c>
      <c r="B14" s="6">
        <v>1631208</v>
      </c>
      <c r="C14" s="6">
        <v>595878</v>
      </c>
      <c r="D14" s="6">
        <v>587705</v>
      </c>
      <c r="E14" s="6">
        <v>8173</v>
      </c>
    </row>
    <row r="15" spans="1:5" ht="15" x14ac:dyDescent="0.25">
      <c r="A15" s="5" t="s">
        <v>15</v>
      </c>
      <c r="B15" s="6">
        <v>1162357</v>
      </c>
      <c r="C15" s="6">
        <v>372514</v>
      </c>
      <c r="D15" s="6">
        <v>341718</v>
      </c>
      <c r="E15" s="6">
        <v>30796</v>
      </c>
    </row>
    <row r="16" spans="1:5" ht="15" x14ac:dyDescent="0.25">
      <c r="A16" s="5" t="s">
        <v>16</v>
      </c>
      <c r="B16" s="6">
        <v>298788</v>
      </c>
      <c r="C16" s="6">
        <v>102146</v>
      </c>
      <c r="D16" s="6">
        <v>15890</v>
      </c>
      <c r="E16" s="6">
        <v>86256</v>
      </c>
    </row>
    <row r="17" spans="1:5" ht="15" x14ac:dyDescent="0.25">
      <c r="A17" s="5" t="s">
        <v>17</v>
      </c>
      <c r="B17" s="6">
        <v>294729</v>
      </c>
      <c r="C17" s="6">
        <v>139532</v>
      </c>
      <c r="D17" s="6">
        <v>93526</v>
      </c>
      <c r="E17" s="6">
        <v>46006</v>
      </c>
    </row>
    <row r="18" spans="1:5" ht="15" x14ac:dyDescent="0.25">
      <c r="A18" s="5" t="s">
        <v>18</v>
      </c>
      <c r="B18" s="6">
        <v>5318887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2618313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44290</v>
      </c>
      <c r="C20" s="6">
        <v>6156</v>
      </c>
      <c r="D20" s="6" t="s">
        <v>8</v>
      </c>
      <c r="E20" s="6">
        <v>6156</v>
      </c>
    </row>
    <row r="21" spans="1:5" ht="15" x14ac:dyDescent="0.25">
      <c r="A21" s="5" t="s">
        <v>21</v>
      </c>
      <c r="B21" s="6">
        <v>468052</v>
      </c>
      <c r="C21" s="6">
        <v>183201</v>
      </c>
      <c r="D21" s="6">
        <v>30854</v>
      </c>
      <c r="E21" s="6">
        <v>152347</v>
      </c>
    </row>
    <row r="22" spans="1:5" ht="15" x14ac:dyDescent="0.25">
      <c r="A22" s="5" t="s">
        <v>22</v>
      </c>
      <c r="B22" s="6">
        <v>391557</v>
      </c>
      <c r="C22" s="6">
        <v>107712</v>
      </c>
      <c r="D22" s="6">
        <v>107712</v>
      </c>
      <c r="E22" s="6">
        <v>0</v>
      </c>
    </row>
    <row r="23" spans="1:5" ht="15" x14ac:dyDescent="0.25">
      <c r="A23" s="5" t="s">
        <v>23</v>
      </c>
      <c r="B23" s="6">
        <v>3463903</v>
      </c>
      <c r="C23" s="6">
        <v>1009299</v>
      </c>
      <c r="D23" s="6">
        <v>929371</v>
      </c>
      <c r="E23" s="6">
        <v>79928</v>
      </c>
    </row>
    <row r="24" spans="1:5" ht="15" x14ac:dyDescent="0.25">
      <c r="A24" s="5" t="s">
        <v>24</v>
      </c>
      <c r="B24" s="6">
        <v>2040189</v>
      </c>
      <c r="C24" s="6">
        <v>595756</v>
      </c>
      <c r="D24" s="6">
        <v>595756</v>
      </c>
      <c r="E24" s="6">
        <v>0</v>
      </c>
    </row>
    <row r="25" spans="1:5" ht="15" x14ac:dyDescent="0.25">
      <c r="A25" s="5" t="s">
        <v>25</v>
      </c>
      <c r="B25" s="6">
        <v>739215</v>
      </c>
      <c r="C25" s="6">
        <v>234738</v>
      </c>
      <c r="D25" s="6">
        <v>203710</v>
      </c>
      <c r="E25" s="6">
        <v>31028</v>
      </c>
    </row>
    <row r="26" spans="1:5" ht="15" x14ac:dyDescent="0.25">
      <c r="A26" s="5" t="s">
        <v>26</v>
      </c>
      <c r="B26" s="6">
        <v>451578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1546316</v>
      </c>
      <c r="C27" s="6">
        <v>618591</v>
      </c>
      <c r="D27" s="6">
        <v>618591</v>
      </c>
      <c r="E27" s="6">
        <v>0</v>
      </c>
    </row>
    <row r="28" spans="1:5" ht="15" x14ac:dyDescent="0.25">
      <c r="A28" s="5" t="s">
        <v>28</v>
      </c>
      <c r="B28" s="6">
        <v>2228741</v>
      </c>
      <c r="C28" s="6">
        <v>1014449</v>
      </c>
      <c r="D28" s="6">
        <v>780095</v>
      </c>
      <c r="E28" s="6">
        <v>234354</v>
      </c>
    </row>
    <row r="29" spans="1:5" ht="15" x14ac:dyDescent="0.25">
      <c r="A29" s="5" t="s">
        <v>29</v>
      </c>
      <c r="B29" s="6">
        <v>410332</v>
      </c>
      <c r="C29" s="6">
        <v>116572</v>
      </c>
      <c r="D29" s="6">
        <v>92718</v>
      </c>
      <c r="E29" s="6">
        <v>23854</v>
      </c>
    </row>
    <row r="30" spans="1:5" ht="15" x14ac:dyDescent="0.25">
      <c r="A30" s="5" t="s">
        <v>30</v>
      </c>
      <c r="B30" s="6">
        <v>1597078</v>
      </c>
      <c r="C30" s="6">
        <v>463274</v>
      </c>
      <c r="D30" s="6">
        <v>463274</v>
      </c>
      <c r="E30" s="6">
        <v>0</v>
      </c>
    </row>
    <row r="31" spans="1:5" ht="15" x14ac:dyDescent="0.25">
      <c r="A31" s="5" t="s">
        <v>31</v>
      </c>
      <c r="B31" s="6">
        <v>2290802</v>
      </c>
      <c r="C31" s="6">
        <v>504956</v>
      </c>
      <c r="D31" s="6">
        <v>0</v>
      </c>
      <c r="E31" s="6">
        <v>504956</v>
      </c>
    </row>
    <row r="32" spans="1:5" ht="15" x14ac:dyDescent="0.25">
      <c r="A32" s="5" t="s">
        <v>32</v>
      </c>
      <c r="B32" s="6">
        <v>3115705</v>
      </c>
      <c r="C32" s="6">
        <v>1096494</v>
      </c>
      <c r="D32" s="6">
        <v>1020805</v>
      </c>
      <c r="E32" s="6">
        <v>75689</v>
      </c>
    </row>
    <row r="33" spans="1:5" ht="15" x14ac:dyDescent="0.25">
      <c r="A33" s="5" t="s">
        <v>33</v>
      </c>
      <c r="B33" s="6">
        <v>1422107</v>
      </c>
      <c r="C33" s="6">
        <v>326995</v>
      </c>
      <c r="D33" s="6">
        <v>326995</v>
      </c>
      <c r="E33" s="6">
        <v>0</v>
      </c>
    </row>
    <row r="34" spans="1:5" ht="15" x14ac:dyDescent="0.25">
      <c r="A34" s="5" t="s">
        <v>34</v>
      </c>
      <c r="B34" s="6">
        <v>834487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1482476</v>
      </c>
      <c r="C35" s="6">
        <v>350795</v>
      </c>
      <c r="D35" s="6">
        <v>350795</v>
      </c>
      <c r="E35" s="6">
        <v>0</v>
      </c>
    </row>
    <row r="36" spans="1:5" ht="15" x14ac:dyDescent="0.25">
      <c r="A36" s="5" t="s">
        <v>36</v>
      </c>
      <c r="B36" s="6">
        <v>286665</v>
      </c>
      <c r="C36" s="6">
        <v>110827</v>
      </c>
      <c r="D36" s="6">
        <v>110827</v>
      </c>
      <c r="E36" s="6">
        <v>0</v>
      </c>
    </row>
    <row r="37" spans="1:5" ht="15" x14ac:dyDescent="0.25">
      <c r="A37" s="5" t="s">
        <v>37</v>
      </c>
      <c r="B37" s="6">
        <v>17129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385773</v>
      </c>
      <c r="C38" s="6">
        <v>82590</v>
      </c>
      <c r="D38" s="6">
        <v>80692</v>
      </c>
      <c r="E38" s="6">
        <v>1898</v>
      </c>
    </row>
    <row r="39" spans="1:5" ht="15" x14ac:dyDescent="0.25">
      <c r="A39" s="5" t="s">
        <v>39</v>
      </c>
      <c r="B39" s="6">
        <v>843000</v>
      </c>
      <c r="C39" s="6">
        <v>380564</v>
      </c>
      <c r="D39" s="6">
        <v>380564</v>
      </c>
      <c r="E39" s="6">
        <v>0</v>
      </c>
    </row>
    <row r="40" spans="1:5" ht="15" x14ac:dyDescent="0.25">
      <c r="A40" s="5" t="s">
        <v>40</v>
      </c>
      <c r="B40" s="6">
        <v>192277</v>
      </c>
      <c r="C40" s="6">
        <v>65068</v>
      </c>
      <c r="D40" s="6">
        <v>64622</v>
      </c>
      <c r="E40" s="6">
        <v>446</v>
      </c>
    </row>
    <row r="41" spans="1:5" ht="15" x14ac:dyDescent="0.25">
      <c r="A41" s="5" t="s">
        <v>41</v>
      </c>
      <c r="B41" s="6">
        <v>2170619</v>
      </c>
      <c r="C41" s="6">
        <v>783401</v>
      </c>
      <c r="D41" s="6">
        <v>783401</v>
      </c>
      <c r="E41" s="6">
        <v>0</v>
      </c>
    </row>
    <row r="42" spans="1:5" ht="15" x14ac:dyDescent="0.25">
      <c r="A42" s="5" t="s">
        <v>42</v>
      </c>
      <c r="B42" s="6">
        <v>925158</v>
      </c>
      <c r="C42" s="6">
        <v>288232</v>
      </c>
      <c r="D42" s="6">
        <v>288232</v>
      </c>
      <c r="E42" s="6">
        <v>0</v>
      </c>
    </row>
    <row r="43" spans="1:5" ht="15" x14ac:dyDescent="0.25">
      <c r="A43" s="5" t="s">
        <v>43</v>
      </c>
      <c r="B43" s="6">
        <v>7935241</v>
      </c>
      <c r="C43" s="6">
        <v>2582592</v>
      </c>
      <c r="D43" s="6">
        <v>436117</v>
      </c>
      <c r="E43" s="6">
        <v>2146475</v>
      </c>
    </row>
    <row r="44" spans="1:5" ht="15" x14ac:dyDescent="0.25">
      <c r="A44" s="5" t="s">
        <v>44</v>
      </c>
      <c r="B44" s="6">
        <v>2967275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127424</v>
      </c>
      <c r="C45" s="6">
        <v>34119</v>
      </c>
      <c r="D45" s="6">
        <v>32424</v>
      </c>
      <c r="E45" s="6">
        <v>1695</v>
      </c>
    </row>
    <row r="46" spans="1:5" ht="15" x14ac:dyDescent="0.25">
      <c r="A46" s="5" t="s">
        <v>46</v>
      </c>
      <c r="B46" s="6">
        <v>3528290</v>
      </c>
      <c r="C46" s="6">
        <v>875610</v>
      </c>
      <c r="D46" s="6">
        <v>875355</v>
      </c>
      <c r="E46" s="6">
        <v>255</v>
      </c>
    </row>
    <row r="47" spans="1:5" ht="15" x14ac:dyDescent="0.25">
      <c r="A47" s="5" t="s">
        <v>47</v>
      </c>
      <c r="B47" s="6">
        <v>1211825</v>
      </c>
      <c r="C47" s="6">
        <v>365810</v>
      </c>
      <c r="D47" s="6">
        <v>365810</v>
      </c>
      <c r="E47" s="6">
        <v>0</v>
      </c>
    </row>
    <row r="48" spans="1:5" ht="15" x14ac:dyDescent="0.25">
      <c r="A48" s="5" t="s">
        <v>48</v>
      </c>
      <c r="B48" s="6">
        <v>1354166</v>
      </c>
      <c r="C48" s="6">
        <v>728674</v>
      </c>
      <c r="D48" s="6">
        <v>619437</v>
      </c>
      <c r="E48" s="6">
        <v>109237</v>
      </c>
    </row>
    <row r="49" spans="1:5" ht="15" x14ac:dyDescent="0.25">
      <c r="A49" s="5" t="s">
        <v>49</v>
      </c>
      <c r="B49" s="6">
        <v>3588827</v>
      </c>
      <c r="C49" s="6">
        <v>1149301</v>
      </c>
      <c r="D49" s="6">
        <v>1084846</v>
      </c>
      <c r="E49" s="6">
        <v>64455</v>
      </c>
    </row>
    <row r="50" spans="1:5" ht="15" x14ac:dyDescent="0.25">
      <c r="A50" s="5" t="s">
        <v>50</v>
      </c>
      <c r="B50" s="6">
        <v>1522500</v>
      </c>
      <c r="C50" s="6">
        <v>695770</v>
      </c>
      <c r="D50" s="6" t="s">
        <v>8</v>
      </c>
      <c r="E50" s="6">
        <v>695770</v>
      </c>
    </row>
    <row r="51" spans="1:5" ht="15" x14ac:dyDescent="0.25">
      <c r="A51" s="5" t="s">
        <v>51</v>
      </c>
      <c r="B51" s="6">
        <v>362475</v>
      </c>
      <c r="C51" s="6">
        <v>102173</v>
      </c>
      <c r="D51" s="6">
        <v>102173</v>
      </c>
      <c r="E51" s="6">
        <v>0</v>
      </c>
    </row>
    <row r="52" spans="1:5" ht="15" x14ac:dyDescent="0.25">
      <c r="A52" s="5" t="s">
        <v>52</v>
      </c>
      <c r="B52" s="6">
        <v>1557395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109030</v>
      </c>
      <c r="C53" s="6">
        <v>4125</v>
      </c>
      <c r="D53" s="6">
        <v>4125</v>
      </c>
      <c r="E53" s="6">
        <v>0</v>
      </c>
    </row>
    <row r="54" spans="1:5" ht="15" x14ac:dyDescent="0.25">
      <c r="A54" s="5" t="s">
        <v>54</v>
      </c>
      <c r="B54" s="6">
        <v>1892813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5882840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459540</v>
      </c>
      <c r="C56" s="6">
        <v>126322</v>
      </c>
      <c r="D56" s="6">
        <v>125366</v>
      </c>
      <c r="E56" s="6">
        <v>956</v>
      </c>
    </row>
    <row r="57" spans="1:5" ht="15" x14ac:dyDescent="0.25">
      <c r="A57" s="5" t="s">
        <v>57</v>
      </c>
      <c r="B57" s="6">
        <v>193611</v>
      </c>
      <c r="C57" s="6">
        <v>82498</v>
      </c>
      <c r="D57" s="6">
        <v>0</v>
      </c>
      <c r="E57" s="6">
        <v>82498</v>
      </c>
    </row>
    <row r="58" spans="1:5" ht="15" x14ac:dyDescent="0.25">
      <c r="A58" s="5" t="s">
        <v>58</v>
      </c>
      <c r="B58" s="6">
        <v>36868</v>
      </c>
      <c r="C58" s="6">
        <v>18248</v>
      </c>
      <c r="D58" s="6" t="s">
        <v>8</v>
      </c>
      <c r="E58" s="6">
        <v>18248</v>
      </c>
    </row>
    <row r="59" spans="1:5" ht="15" x14ac:dyDescent="0.25">
      <c r="A59" s="5" t="s">
        <v>59</v>
      </c>
      <c r="B59" s="6">
        <v>1997416</v>
      </c>
      <c r="C59" s="6">
        <v>752549</v>
      </c>
      <c r="D59" s="6">
        <v>752549</v>
      </c>
      <c r="E59" s="6">
        <v>0</v>
      </c>
    </row>
    <row r="60" spans="1:5" ht="15" x14ac:dyDescent="0.25">
      <c r="A60" s="5" t="s">
        <v>60</v>
      </c>
      <c r="B60" s="6">
        <v>2056657</v>
      </c>
      <c r="C60" s="6">
        <v>760521</v>
      </c>
      <c r="D60" s="6">
        <v>740744</v>
      </c>
      <c r="E60" s="6">
        <v>19777</v>
      </c>
    </row>
    <row r="61" spans="1:5" ht="15" x14ac:dyDescent="0.25">
      <c r="A61" s="5" t="s">
        <v>61</v>
      </c>
      <c r="B61" s="6">
        <v>614687</v>
      </c>
      <c r="C61" s="6">
        <v>225701</v>
      </c>
      <c r="D61" s="6">
        <v>225701</v>
      </c>
      <c r="E61" s="6">
        <v>0</v>
      </c>
    </row>
    <row r="62" spans="1:5" ht="15" x14ac:dyDescent="0.25">
      <c r="A62" s="5" t="s">
        <v>62</v>
      </c>
      <c r="B62" s="6">
        <v>1502101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88080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97857412</v>
      </c>
      <c r="C64" s="8">
        <f>SUM(C8:C63)</f>
        <v>24408927</v>
      </c>
      <c r="D64" s="8">
        <f>SUM(D8:D63)</f>
        <v>19412471</v>
      </c>
      <c r="E64" s="8">
        <f>SUM(E8:E63)</f>
        <v>4996456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December 2, 2024 9:20 AM&amp;R&amp;"-,Regular"&amp;7Page : &amp;"-,Regular"&amp;7&amp;P&amp;"-,Regular"&amp;7 of &amp;"-,Regular"&amp;7&amp;N</oddFooter>
    <evenFooter>&amp;L&amp;"-,Regular"&amp;7Created On: Monday, December 2, 2024 9:20 AM&amp;R&amp;"-,Regular"&amp;7Page : &amp;"-,Regular"&amp;7&amp;P&amp;"-,Regular"&amp;7 of &amp;"-,Regular"&amp;7&amp;N</evenFooter>
    <firstFooter>&amp;L&amp;"-,Regular"&amp;7Created On: Monday, December 2, 2024 9:20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8C17-8FB5-4F98-A788-28BC65340579}">
  <sheetPr>
    <pageSetUpPr fitToPage="1"/>
  </sheetPr>
  <dimension ref="A1:E89"/>
  <sheetViews>
    <sheetView workbookViewId="0">
      <pane ySplit="7" topLeftCell="A8" activePane="bottomLeft" state="frozenSplit"/>
      <selection activeCell="C45" sqref="C45"/>
      <selection pane="bottomLeft" activeCell="C45" sqref="C4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187</v>
      </c>
      <c r="B2" s="2"/>
      <c r="C2" s="2"/>
      <c r="D2" s="2"/>
      <c r="E2" s="2"/>
    </row>
    <row r="3" spans="1:5" ht="15" x14ac:dyDescent="0.25">
      <c r="A3" s="2" t="s">
        <v>185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1325088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251160</v>
      </c>
      <c r="C9" s="6">
        <v>73071</v>
      </c>
      <c r="D9" s="6">
        <v>73071</v>
      </c>
      <c r="E9" s="6">
        <v>0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2242083</v>
      </c>
      <c r="C11" s="6">
        <v>657700</v>
      </c>
      <c r="D11" s="6">
        <v>135347</v>
      </c>
      <c r="E11" s="6">
        <v>522353</v>
      </c>
    </row>
    <row r="12" spans="1:5" ht="15" x14ac:dyDescent="0.25">
      <c r="A12" s="5" t="s">
        <v>12</v>
      </c>
      <c r="B12" s="6">
        <v>868551</v>
      </c>
      <c r="C12" s="6">
        <v>264913</v>
      </c>
      <c r="D12" s="6">
        <v>254406</v>
      </c>
      <c r="E12" s="6">
        <v>10507</v>
      </c>
    </row>
    <row r="13" spans="1:5" ht="15" x14ac:dyDescent="0.25">
      <c r="A13" s="5" t="s">
        <v>13</v>
      </c>
      <c r="B13" s="6">
        <v>15343746</v>
      </c>
      <c r="C13" s="6">
        <v>5326420</v>
      </c>
      <c r="D13" s="6">
        <v>5295388</v>
      </c>
      <c r="E13" s="6">
        <v>31032</v>
      </c>
    </row>
    <row r="14" spans="1:5" ht="15" x14ac:dyDescent="0.25">
      <c r="A14" s="5" t="s">
        <v>14</v>
      </c>
      <c r="B14" s="6">
        <v>1582723</v>
      </c>
      <c r="C14" s="6">
        <v>573810</v>
      </c>
      <c r="D14" s="6">
        <v>565769</v>
      </c>
      <c r="E14" s="6">
        <v>8041</v>
      </c>
    </row>
    <row r="15" spans="1:5" ht="15" x14ac:dyDescent="0.25">
      <c r="A15" s="5" t="s">
        <v>15</v>
      </c>
      <c r="B15" s="6">
        <v>1146797</v>
      </c>
      <c r="C15" s="6">
        <v>374121</v>
      </c>
      <c r="D15" s="6">
        <v>342311</v>
      </c>
      <c r="E15" s="6">
        <v>31810</v>
      </c>
    </row>
    <row r="16" spans="1:5" ht="15" x14ac:dyDescent="0.25">
      <c r="A16" s="5" t="s">
        <v>16</v>
      </c>
      <c r="B16" s="6">
        <v>290897</v>
      </c>
      <c r="C16" s="6">
        <v>98720</v>
      </c>
      <c r="D16" s="6">
        <v>15263</v>
      </c>
      <c r="E16" s="6">
        <v>83457</v>
      </c>
    </row>
    <row r="17" spans="1:5" ht="15" x14ac:dyDescent="0.25">
      <c r="A17" s="5" t="s">
        <v>17</v>
      </c>
      <c r="B17" s="6">
        <v>291177</v>
      </c>
      <c r="C17" s="6">
        <v>136623</v>
      </c>
      <c r="D17" s="6">
        <v>91222</v>
      </c>
      <c r="E17" s="6">
        <v>45401</v>
      </c>
    </row>
    <row r="18" spans="1:5" ht="15" x14ac:dyDescent="0.25">
      <c r="A18" s="5" t="s">
        <v>18</v>
      </c>
      <c r="B18" s="6">
        <v>5376391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2478927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44534</v>
      </c>
      <c r="C20" s="6">
        <v>6197</v>
      </c>
      <c r="D20" s="6" t="s">
        <v>8</v>
      </c>
      <c r="E20" s="6">
        <v>6197</v>
      </c>
    </row>
    <row r="21" spans="1:5" ht="15" x14ac:dyDescent="0.25">
      <c r="A21" s="5" t="s">
        <v>21</v>
      </c>
      <c r="B21" s="6">
        <v>468435</v>
      </c>
      <c r="C21" s="6">
        <v>181422</v>
      </c>
      <c r="D21" s="6">
        <v>30428</v>
      </c>
      <c r="E21" s="6">
        <v>150994</v>
      </c>
    </row>
    <row r="22" spans="1:5" ht="15" x14ac:dyDescent="0.25">
      <c r="A22" s="5" t="s">
        <v>22</v>
      </c>
      <c r="B22" s="6">
        <v>371854</v>
      </c>
      <c r="C22" s="6">
        <v>97821</v>
      </c>
      <c r="D22" s="6">
        <v>97821</v>
      </c>
      <c r="E22" s="6">
        <v>0</v>
      </c>
    </row>
    <row r="23" spans="1:5" ht="15" x14ac:dyDescent="0.25">
      <c r="A23" s="5" t="s">
        <v>23</v>
      </c>
      <c r="B23" s="6">
        <v>3436109</v>
      </c>
      <c r="C23" s="6">
        <v>1003759</v>
      </c>
      <c r="D23" s="6">
        <v>923520</v>
      </c>
      <c r="E23" s="6">
        <v>80239</v>
      </c>
    </row>
    <row r="24" spans="1:5" ht="15" x14ac:dyDescent="0.25">
      <c r="A24" s="5" t="s">
        <v>24</v>
      </c>
      <c r="B24" s="6">
        <v>2002413</v>
      </c>
      <c r="C24" s="6">
        <v>591406</v>
      </c>
      <c r="D24" s="6">
        <v>591406</v>
      </c>
      <c r="E24" s="6">
        <v>0</v>
      </c>
    </row>
    <row r="25" spans="1:5" ht="15" x14ac:dyDescent="0.25">
      <c r="A25" s="5" t="s">
        <v>25</v>
      </c>
      <c r="B25" s="6">
        <v>707178</v>
      </c>
      <c r="C25" s="6">
        <v>219540</v>
      </c>
      <c r="D25" s="6">
        <v>193110</v>
      </c>
      <c r="E25" s="6">
        <v>26430</v>
      </c>
    </row>
    <row r="26" spans="1:5" ht="15" x14ac:dyDescent="0.25">
      <c r="A26" s="5" t="s">
        <v>26</v>
      </c>
      <c r="B26" s="6">
        <v>435863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1527569</v>
      </c>
      <c r="C27" s="6">
        <v>606434</v>
      </c>
      <c r="D27" s="6">
        <v>606434</v>
      </c>
      <c r="E27" s="6">
        <v>0</v>
      </c>
    </row>
    <row r="28" spans="1:5" ht="15" x14ac:dyDescent="0.25">
      <c r="A28" s="5" t="s">
        <v>28</v>
      </c>
      <c r="B28" s="6">
        <v>2198151</v>
      </c>
      <c r="C28" s="6">
        <v>998250</v>
      </c>
      <c r="D28" s="6">
        <v>765237</v>
      </c>
      <c r="E28" s="6">
        <v>233013</v>
      </c>
    </row>
    <row r="29" spans="1:5" ht="15" x14ac:dyDescent="0.25">
      <c r="A29" s="5" t="s">
        <v>29</v>
      </c>
      <c r="B29" s="6">
        <v>408101</v>
      </c>
      <c r="C29" s="6">
        <v>116446</v>
      </c>
      <c r="D29" s="6">
        <v>92471</v>
      </c>
      <c r="E29" s="6">
        <v>23975</v>
      </c>
    </row>
    <row r="30" spans="1:5" ht="15" x14ac:dyDescent="0.25">
      <c r="A30" s="5" t="s">
        <v>30</v>
      </c>
      <c r="B30" s="6">
        <v>1576830</v>
      </c>
      <c r="C30" s="6">
        <v>457544</v>
      </c>
      <c r="D30" s="6">
        <v>457544</v>
      </c>
      <c r="E30" s="6">
        <v>0</v>
      </c>
    </row>
    <row r="31" spans="1:5" ht="15" x14ac:dyDescent="0.25">
      <c r="A31" s="5" t="s">
        <v>31</v>
      </c>
      <c r="B31" s="6">
        <v>2280258</v>
      </c>
      <c r="C31" s="6">
        <v>482112</v>
      </c>
      <c r="D31" s="6">
        <v>0</v>
      </c>
      <c r="E31" s="6">
        <v>482112</v>
      </c>
    </row>
    <row r="32" spans="1:5" ht="15" x14ac:dyDescent="0.25">
      <c r="A32" s="5" t="s">
        <v>32</v>
      </c>
      <c r="B32" s="6">
        <v>3056264</v>
      </c>
      <c r="C32" s="6">
        <v>1070013</v>
      </c>
      <c r="D32" s="6">
        <v>996093</v>
      </c>
      <c r="E32" s="6">
        <v>73920</v>
      </c>
    </row>
    <row r="33" spans="1:5" ht="15" x14ac:dyDescent="0.25">
      <c r="A33" s="5" t="s">
        <v>33</v>
      </c>
      <c r="B33" s="6">
        <v>1394888</v>
      </c>
      <c r="C33" s="6">
        <v>317995</v>
      </c>
      <c r="D33" s="6">
        <v>317995</v>
      </c>
      <c r="E33" s="6">
        <v>0</v>
      </c>
    </row>
    <row r="34" spans="1:5" ht="15" x14ac:dyDescent="0.25">
      <c r="A34" s="5" t="s">
        <v>34</v>
      </c>
      <c r="B34" s="6">
        <v>814786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1468978</v>
      </c>
      <c r="C35" s="6">
        <v>349933</v>
      </c>
      <c r="D35" s="6">
        <v>349933</v>
      </c>
      <c r="E35" s="6">
        <v>0</v>
      </c>
    </row>
    <row r="36" spans="1:5" ht="15" x14ac:dyDescent="0.25">
      <c r="A36" s="5" t="s">
        <v>36</v>
      </c>
      <c r="B36" s="6">
        <v>275402</v>
      </c>
      <c r="C36" s="6">
        <v>104655</v>
      </c>
      <c r="D36" s="6">
        <v>104655</v>
      </c>
      <c r="E36" s="6">
        <v>0</v>
      </c>
    </row>
    <row r="37" spans="1:5" ht="15" x14ac:dyDescent="0.25">
      <c r="A37" s="5" t="s">
        <v>37</v>
      </c>
      <c r="B37" s="6">
        <v>15371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392231</v>
      </c>
      <c r="C38" s="6">
        <v>84289</v>
      </c>
      <c r="D38" s="6">
        <v>82338</v>
      </c>
      <c r="E38" s="6">
        <v>1951</v>
      </c>
    </row>
    <row r="39" spans="1:5" ht="15" x14ac:dyDescent="0.25">
      <c r="A39" s="5" t="s">
        <v>39</v>
      </c>
      <c r="B39" s="6">
        <v>839936</v>
      </c>
      <c r="C39" s="6">
        <v>378160</v>
      </c>
      <c r="D39" s="6">
        <v>378160</v>
      </c>
      <c r="E39" s="6">
        <v>0</v>
      </c>
    </row>
    <row r="40" spans="1:5" ht="15" x14ac:dyDescent="0.25">
      <c r="A40" s="5" t="s">
        <v>40</v>
      </c>
      <c r="B40" s="6">
        <v>186699</v>
      </c>
      <c r="C40" s="6">
        <v>60498</v>
      </c>
      <c r="D40" s="6">
        <v>60064</v>
      </c>
      <c r="E40" s="6">
        <v>434</v>
      </c>
    </row>
    <row r="41" spans="1:5" ht="15" x14ac:dyDescent="0.25">
      <c r="A41" s="5" t="s">
        <v>41</v>
      </c>
      <c r="B41" s="6">
        <v>2155858</v>
      </c>
      <c r="C41" s="6">
        <v>776395</v>
      </c>
      <c r="D41" s="6">
        <v>776395</v>
      </c>
      <c r="E41" s="6">
        <v>0</v>
      </c>
    </row>
    <row r="42" spans="1:5" ht="15" x14ac:dyDescent="0.25">
      <c r="A42" s="5" t="s">
        <v>42</v>
      </c>
      <c r="B42" s="6">
        <v>901881</v>
      </c>
      <c r="C42" s="6">
        <v>279626</v>
      </c>
      <c r="D42" s="6">
        <v>279626</v>
      </c>
      <c r="E42" s="6">
        <v>0</v>
      </c>
    </row>
    <row r="43" spans="1:5" ht="15" x14ac:dyDescent="0.25">
      <c r="A43" s="5" t="s">
        <v>43</v>
      </c>
      <c r="B43" s="6">
        <v>7821660</v>
      </c>
      <c r="C43" s="6">
        <v>2540512</v>
      </c>
      <c r="D43" s="6">
        <v>426091</v>
      </c>
      <c r="E43" s="6">
        <v>2114421</v>
      </c>
    </row>
    <row r="44" spans="1:5" ht="15" x14ac:dyDescent="0.25">
      <c r="A44" s="5" t="s">
        <v>44</v>
      </c>
      <c r="B44" s="6">
        <v>2956601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122708</v>
      </c>
      <c r="C45" s="6">
        <v>32298</v>
      </c>
      <c r="D45" s="6">
        <v>30742</v>
      </c>
      <c r="E45" s="6">
        <v>1556</v>
      </c>
    </row>
    <row r="46" spans="1:5" ht="15" x14ac:dyDescent="0.25">
      <c r="A46" s="5" t="s">
        <v>46</v>
      </c>
      <c r="B46" s="6">
        <v>3473616</v>
      </c>
      <c r="C46" s="6">
        <v>856823</v>
      </c>
      <c r="D46" s="6">
        <v>856577</v>
      </c>
      <c r="E46" s="6">
        <v>246</v>
      </c>
    </row>
    <row r="47" spans="1:5" ht="15" x14ac:dyDescent="0.25">
      <c r="A47" s="5" t="s">
        <v>47</v>
      </c>
      <c r="B47" s="6">
        <v>1186287</v>
      </c>
      <c r="C47" s="6">
        <v>344083</v>
      </c>
      <c r="D47" s="6">
        <v>344083</v>
      </c>
      <c r="E47" s="6">
        <v>0</v>
      </c>
    </row>
    <row r="48" spans="1:5" ht="15" x14ac:dyDescent="0.25">
      <c r="A48" s="5" t="s">
        <v>48</v>
      </c>
      <c r="B48" s="6">
        <v>1348988</v>
      </c>
      <c r="C48" s="6">
        <v>724863</v>
      </c>
      <c r="D48" s="6">
        <v>613640</v>
      </c>
      <c r="E48" s="6">
        <v>111223</v>
      </c>
    </row>
    <row r="49" spans="1:5" ht="15" x14ac:dyDescent="0.25">
      <c r="A49" s="5" t="s">
        <v>49</v>
      </c>
      <c r="B49" s="6">
        <v>3535700</v>
      </c>
      <c r="C49" s="6">
        <v>1123544</v>
      </c>
      <c r="D49" s="6">
        <v>1060721</v>
      </c>
      <c r="E49" s="6">
        <v>62823</v>
      </c>
    </row>
    <row r="50" spans="1:5" ht="15" x14ac:dyDescent="0.25">
      <c r="A50" s="5" t="s">
        <v>50</v>
      </c>
      <c r="B50" s="6">
        <v>1529641</v>
      </c>
      <c r="C50" s="6">
        <v>698443</v>
      </c>
      <c r="D50" s="6" t="s">
        <v>8</v>
      </c>
      <c r="E50" s="6">
        <v>698443</v>
      </c>
    </row>
    <row r="51" spans="1:5" ht="15" x14ac:dyDescent="0.25">
      <c r="A51" s="5" t="s">
        <v>51</v>
      </c>
      <c r="B51" s="6">
        <v>360912</v>
      </c>
      <c r="C51" s="6">
        <v>100399</v>
      </c>
      <c r="D51" s="6">
        <v>100399</v>
      </c>
      <c r="E51" s="6">
        <v>0</v>
      </c>
    </row>
    <row r="52" spans="1:5" ht="15" x14ac:dyDescent="0.25">
      <c r="A52" s="5" t="s">
        <v>52</v>
      </c>
      <c r="B52" s="6">
        <v>1557385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109131</v>
      </c>
      <c r="C53" s="6">
        <v>7478</v>
      </c>
      <c r="D53" s="6">
        <v>7478</v>
      </c>
      <c r="E53" s="6">
        <v>0</v>
      </c>
    </row>
    <row r="54" spans="1:5" ht="15" x14ac:dyDescent="0.25">
      <c r="A54" s="5" t="s">
        <v>54</v>
      </c>
      <c r="B54" s="6">
        <v>1876773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5765159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443253</v>
      </c>
      <c r="C56" s="6">
        <v>119015</v>
      </c>
      <c r="D56" s="6">
        <v>117981</v>
      </c>
      <c r="E56" s="6">
        <v>1034</v>
      </c>
    </row>
    <row r="57" spans="1:5" ht="15" x14ac:dyDescent="0.25">
      <c r="A57" s="5" t="s">
        <v>57</v>
      </c>
      <c r="B57" s="6">
        <v>193612</v>
      </c>
      <c r="C57" s="6">
        <v>82227</v>
      </c>
      <c r="D57" s="6">
        <v>0</v>
      </c>
      <c r="E57" s="6">
        <v>82227</v>
      </c>
    </row>
    <row r="58" spans="1:5" ht="15" x14ac:dyDescent="0.25">
      <c r="A58" s="5" t="s">
        <v>58</v>
      </c>
      <c r="B58" s="6">
        <v>35311</v>
      </c>
      <c r="C58" s="6">
        <v>17257</v>
      </c>
      <c r="D58" s="6" t="s">
        <v>8</v>
      </c>
      <c r="E58" s="6">
        <v>17257</v>
      </c>
    </row>
    <row r="59" spans="1:5" ht="15" x14ac:dyDescent="0.25">
      <c r="A59" s="5" t="s">
        <v>59</v>
      </c>
      <c r="B59" s="6">
        <v>1976607</v>
      </c>
      <c r="C59" s="6">
        <v>745460</v>
      </c>
      <c r="D59" s="6">
        <v>745460</v>
      </c>
      <c r="E59" s="6">
        <v>0</v>
      </c>
    </row>
    <row r="60" spans="1:5" ht="15" x14ac:dyDescent="0.25">
      <c r="A60" s="5" t="s">
        <v>60</v>
      </c>
      <c r="B60" s="6">
        <v>1992717</v>
      </c>
      <c r="C60" s="6">
        <v>718547</v>
      </c>
      <c r="D60" s="6">
        <v>698782</v>
      </c>
      <c r="E60" s="6">
        <v>19765</v>
      </c>
    </row>
    <row r="61" spans="1:5" ht="15" x14ac:dyDescent="0.25">
      <c r="A61" s="5" t="s">
        <v>61</v>
      </c>
      <c r="B61" s="6">
        <v>598091</v>
      </c>
      <c r="C61" s="6">
        <v>216686</v>
      </c>
      <c r="D61" s="6">
        <v>216686</v>
      </c>
      <c r="E61" s="6">
        <v>0</v>
      </c>
    </row>
    <row r="62" spans="1:5" ht="15" x14ac:dyDescent="0.25">
      <c r="A62" s="5" t="s">
        <v>62</v>
      </c>
      <c r="B62" s="6">
        <v>1470548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77896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96623612</v>
      </c>
      <c r="C64" s="8">
        <f>SUM(C8:C63)</f>
        <v>24015508</v>
      </c>
      <c r="D64" s="8">
        <f>SUM(D8:D63)</f>
        <v>19094647</v>
      </c>
      <c r="E64" s="8">
        <f>SUM(E8:E63)</f>
        <v>4920861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December 2, 2024 9:20 AM&amp;R&amp;"-,Regular"&amp;7Page : &amp;"-,Regular"&amp;7&amp;P&amp;"-,Regular"&amp;7 of &amp;"-,Regular"&amp;7&amp;N</oddFooter>
    <evenFooter>&amp;L&amp;"-,Regular"&amp;7Created On: Monday, December 2, 2024 9:20 AM&amp;R&amp;"-,Regular"&amp;7Page : &amp;"-,Regular"&amp;7&amp;P&amp;"-,Regular"&amp;7 of &amp;"-,Regular"&amp;7&amp;N</evenFooter>
    <firstFooter>&amp;L&amp;"-,Regular"&amp;7Created On: Monday, December 2, 2024 9:20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8094-A015-43CE-8E5F-5E3EA3BAC4C8}">
  <sheetPr>
    <pageSetUpPr fitToPage="1"/>
  </sheetPr>
  <dimension ref="A1:E89"/>
  <sheetViews>
    <sheetView workbookViewId="0">
      <pane ySplit="7" topLeftCell="A33" activePane="bottomLeft" state="frozenSplit"/>
      <selection activeCell="C45" sqref="C45"/>
      <selection pane="bottomLeft" activeCell="C45" sqref="C4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188</v>
      </c>
      <c r="B2" s="2"/>
      <c r="C2" s="2"/>
      <c r="D2" s="2"/>
      <c r="E2" s="2"/>
    </row>
    <row r="3" spans="1:5" ht="15" x14ac:dyDescent="0.25">
      <c r="A3" s="2" t="s">
        <v>185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1296845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244188</v>
      </c>
      <c r="C9" s="6">
        <v>70664</v>
      </c>
      <c r="D9" s="6">
        <v>70664</v>
      </c>
      <c r="E9" s="6">
        <v>0</v>
      </c>
    </row>
    <row r="10" spans="1:5" ht="15" x14ac:dyDescent="0.25">
      <c r="A10" s="5" t="s">
        <v>10</v>
      </c>
      <c r="B10" s="6">
        <v>33887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2707565</v>
      </c>
      <c r="C11" s="6">
        <v>844387</v>
      </c>
      <c r="D11" s="6">
        <v>196105</v>
      </c>
      <c r="E11" s="6">
        <v>648282</v>
      </c>
    </row>
    <row r="12" spans="1:5" ht="15" x14ac:dyDescent="0.25">
      <c r="A12" s="5" t="s">
        <v>12</v>
      </c>
      <c r="B12" s="6">
        <v>835268</v>
      </c>
      <c r="C12" s="6">
        <v>253254</v>
      </c>
      <c r="D12" s="6">
        <v>244108</v>
      </c>
      <c r="E12" s="6">
        <v>9146</v>
      </c>
    </row>
    <row r="13" spans="1:5" ht="15" x14ac:dyDescent="0.25">
      <c r="A13" s="5" t="s">
        <v>13</v>
      </c>
      <c r="B13" s="6">
        <v>15027570</v>
      </c>
      <c r="C13" s="6">
        <v>5181885</v>
      </c>
      <c r="D13" s="6">
        <v>5151950</v>
      </c>
      <c r="E13" s="6">
        <v>29935</v>
      </c>
    </row>
    <row r="14" spans="1:5" ht="15" x14ac:dyDescent="0.25">
      <c r="A14" s="5" t="s">
        <v>14</v>
      </c>
      <c r="B14" s="6">
        <v>1532057</v>
      </c>
      <c r="C14" s="6">
        <v>551705</v>
      </c>
      <c r="D14" s="6">
        <v>544038</v>
      </c>
      <c r="E14" s="6">
        <v>7667</v>
      </c>
    </row>
    <row r="15" spans="1:5" ht="15" x14ac:dyDescent="0.25">
      <c r="A15" s="5" t="s">
        <v>15</v>
      </c>
      <c r="B15" s="6">
        <v>1133861</v>
      </c>
      <c r="C15" s="6">
        <v>365972</v>
      </c>
      <c r="D15" s="6">
        <v>334664</v>
      </c>
      <c r="E15" s="6">
        <v>31308</v>
      </c>
    </row>
    <row r="16" spans="1:5" ht="15" x14ac:dyDescent="0.25">
      <c r="A16" s="5" t="s">
        <v>16</v>
      </c>
      <c r="B16" s="6">
        <v>283833</v>
      </c>
      <c r="C16" s="6">
        <v>95609</v>
      </c>
      <c r="D16" s="6">
        <v>14652</v>
      </c>
      <c r="E16" s="6">
        <v>80957</v>
      </c>
    </row>
    <row r="17" spans="1:5" ht="15" x14ac:dyDescent="0.25">
      <c r="A17" s="5" t="s">
        <v>17</v>
      </c>
      <c r="B17" s="6">
        <v>287873</v>
      </c>
      <c r="C17" s="6">
        <v>134002</v>
      </c>
      <c r="D17" s="6">
        <v>89065</v>
      </c>
      <c r="E17" s="6">
        <v>44937</v>
      </c>
    </row>
    <row r="18" spans="1:5" ht="15" x14ac:dyDescent="0.25">
      <c r="A18" s="5" t="s">
        <v>18</v>
      </c>
      <c r="B18" s="6">
        <v>5417062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2463031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44400</v>
      </c>
      <c r="C20" s="6">
        <v>6188</v>
      </c>
      <c r="D20" s="6" t="s">
        <v>8</v>
      </c>
      <c r="E20" s="6">
        <v>6188</v>
      </c>
    </row>
    <row r="21" spans="1:5" ht="15" x14ac:dyDescent="0.25">
      <c r="A21" s="5" t="s">
        <v>21</v>
      </c>
      <c r="B21" s="6">
        <v>469705</v>
      </c>
      <c r="C21" s="6">
        <v>180403</v>
      </c>
      <c r="D21" s="6">
        <v>29964</v>
      </c>
      <c r="E21" s="6">
        <v>150439</v>
      </c>
    </row>
    <row r="22" spans="1:5" ht="15" x14ac:dyDescent="0.25">
      <c r="A22" s="5" t="s">
        <v>22</v>
      </c>
      <c r="B22" s="6">
        <v>337811</v>
      </c>
      <c r="C22" s="6">
        <v>83833</v>
      </c>
      <c r="D22" s="6">
        <v>83833</v>
      </c>
      <c r="E22" s="6">
        <v>0</v>
      </c>
    </row>
    <row r="23" spans="1:5" ht="15" x14ac:dyDescent="0.25">
      <c r="A23" s="5" t="s">
        <v>23</v>
      </c>
      <c r="B23" s="6">
        <v>3420649</v>
      </c>
      <c r="C23" s="6">
        <v>1004844</v>
      </c>
      <c r="D23" s="6">
        <v>923344</v>
      </c>
      <c r="E23" s="6">
        <v>81500</v>
      </c>
    </row>
    <row r="24" spans="1:5" ht="15" x14ac:dyDescent="0.25">
      <c r="A24" s="5" t="s">
        <v>24</v>
      </c>
      <c r="B24" s="6">
        <v>1956949</v>
      </c>
      <c r="C24" s="6">
        <v>581737</v>
      </c>
      <c r="D24" s="6">
        <v>581737</v>
      </c>
      <c r="E24" s="6">
        <v>0</v>
      </c>
    </row>
    <row r="25" spans="1:5" ht="15" x14ac:dyDescent="0.25">
      <c r="A25" s="5" t="s">
        <v>25</v>
      </c>
      <c r="B25" s="6">
        <v>680060</v>
      </c>
      <c r="C25" s="6">
        <v>209090</v>
      </c>
      <c r="D25" s="6">
        <v>186569</v>
      </c>
      <c r="E25" s="6">
        <v>22521</v>
      </c>
    </row>
    <row r="26" spans="1:5" ht="15" x14ac:dyDescent="0.25">
      <c r="A26" s="5" t="s">
        <v>26</v>
      </c>
      <c r="B26" s="6">
        <v>433911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1506338</v>
      </c>
      <c r="C27" s="6">
        <v>593558</v>
      </c>
      <c r="D27" s="6">
        <v>593558</v>
      </c>
      <c r="E27" s="6">
        <v>0</v>
      </c>
    </row>
    <row r="28" spans="1:5" ht="15" x14ac:dyDescent="0.25">
      <c r="A28" s="5" t="s">
        <v>28</v>
      </c>
      <c r="B28" s="6">
        <v>2160233</v>
      </c>
      <c r="C28" s="6">
        <v>976856</v>
      </c>
      <c r="D28" s="6">
        <v>745461</v>
      </c>
      <c r="E28" s="6">
        <v>231395</v>
      </c>
    </row>
    <row r="29" spans="1:5" ht="15" x14ac:dyDescent="0.25">
      <c r="A29" s="5" t="s">
        <v>29</v>
      </c>
      <c r="B29" s="6">
        <v>403931</v>
      </c>
      <c r="C29" s="6">
        <v>115294</v>
      </c>
      <c r="D29" s="6">
        <v>91408</v>
      </c>
      <c r="E29" s="6">
        <v>23886</v>
      </c>
    </row>
    <row r="30" spans="1:5" ht="15" x14ac:dyDescent="0.25">
      <c r="A30" s="5" t="s">
        <v>30</v>
      </c>
      <c r="B30" s="6">
        <v>1571402</v>
      </c>
      <c r="C30" s="6">
        <v>455948</v>
      </c>
      <c r="D30" s="6">
        <v>455948</v>
      </c>
      <c r="E30" s="6">
        <v>0</v>
      </c>
    </row>
    <row r="31" spans="1:5" ht="15" x14ac:dyDescent="0.25">
      <c r="A31" s="5" t="s">
        <v>31</v>
      </c>
      <c r="B31" s="6">
        <v>2251713</v>
      </c>
      <c r="C31" s="6">
        <v>463523</v>
      </c>
      <c r="D31" s="6">
        <v>0</v>
      </c>
      <c r="E31" s="6">
        <v>463523</v>
      </c>
    </row>
    <row r="32" spans="1:5" ht="15" x14ac:dyDescent="0.25">
      <c r="A32" s="5" t="s">
        <v>32</v>
      </c>
      <c r="B32" s="6">
        <v>2987640</v>
      </c>
      <c r="C32" s="6">
        <v>1039111</v>
      </c>
      <c r="D32" s="6">
        <v>967782</v>
      </c>
      <c r="E32" s="6">
        <v>71329</v>
      </c>
    </row>
    <row r="33" spans="1:5" ht="15" x14ac:dyDescent="0.25">
      <c r="A33" s="5" t="s">
        <v>33</v>
      </c>
      <c r="B33" s="6">
        <v>1357278</v>
      </c>
      <c r="C33" s="6">
        <v>307001</v>
      </c>
      <c r="D33" s="6">
        <v>307001</v>
      </c>
      <c r="E33" s="6">
        <v>0</v>
      </c>
    </row>
    <row r="34" spans="1:5" ht="15" x14ac:dyDescent="0.25">
      <c r="A34" s="5" t="s">
        <v>34</v>
      </c>
      <c r="B34" s="6">
        <v>794563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1441448</v>
      </c>
      <c r="C35" s="6">
        <v>343168</v>
      </c>
      <c r="D35" s="6">
        <v>343168</v>
      </c>
      <c r="E35" s="6">
        <v>0</v>
      </c>
    </row>
    <row r="36" spans="1:5" ht="15" x14ac:dyDescent="0.25">
      <c r="A36" s="5" t="s">
        <v>36</v>
      </c>
      <c r="B36" s="6">
        <v>261838</v>
      </c>
      <c r="C36" s="6">
        <v>97499</v>
      </c>
      <c r="D36" s="6">
        <v>97499</v>
      </c>
      <c r="E36" s="6">
        <v>0</v>
      </c>
    </row>
    <row r="37" spans="1:5" ht="15" x14ac:dyDescent="0.25">
      <c r="A37" s="5" t="s">
        <v>37</v>
      </c>
      <c r="B37" s="6">
        <v>15013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384741</v>
      </c>
      <c r="C38" s="6">
        <v>82590</v>
      </c>
      <c r="D38" s="6">
        <v>80692</v>
      </c>
      <c r="E38" s="6">
        <v>1898</v>
      </c>
    </row>
    <row r="39" spans="1:5" ht="15" x14ac:dyDescent="0.25">
      <c r="A39" s="5" t="s">
        <v>39</v>
      </c>
      <c r="B39" s="6">
        <v>833536</v>
      </c>
      <c r="C39" s="6">
        <v>374633</v>
      </c>
      <c r="D39" s="6">
        <v>374633</v>
      </c>
      <c r="E39" s="6">
        <v>0</v>
      </c>
    </row>
    <row r="40" spans="1:5" ht="15" x14ac:dyDescent="0.25">
      <c r="A40" s="5" t="s">
        <v>40</v>
      </c>
      <c r="B40" s="6">
        <v>185247</v>
      </c>
      <c r="C40" s="6">
        <v>61067</v>
      </c>
      <c r="D40" s="6">
        <v>60642</v>
      </c>
      <c r="E40" s="6">
        <v>425</v>
      </c>
    </row>
    <row r="41" spans="1:5" ht="15" x14ac:dyDescent="0.25">
      <c r="A41" s="5" t="s">
        <v>41</v>
      </c>
      <c r="B41" s="6">
        <v>2116625</v>
      </c>
      <c r="C41" s="6">
        <v>752389</v>
      </c>
      <c r="D41" s="6">
        <v>752389</v>
      </c>
      <c r="E41" s="6">
        <v>0</v>
      </c>
    </row>
    <row r="42" spans="1:5" ht="15" x14ac:dyDescent="0.25">
      <c r="A42" s="5" t="s">
        <v>42</v>
      </c>
      <c r="B42" s="6">
        <v>869896</v>
      </c>
      <c r="C42" s="6">
        <v>268125</v>
      </c>
      <c r="D42" s="6">
        <v>268125</v>
      </c>
      <c r="E42" s="6">
        <v>0</v>
      </c>
    </row>
    <row r="43" spans="1:5" ht="15" x14ac:dyDescent="0.25">
      <c r="A43" s="5" t="s">
        <v>43</v>
      </c>
      <c r="B43" s="6">
        <v>7696056</v>
      </c>
      <c r="C43" s="6">
        <v>2496091</v>
      </c>
      <c r="D43" s="6">
        <v>417302</v>
      </c>
      <c r="E43" s="6">
        <v>2078789</v>
      </c>
    </row>
    <row r="44" spans="1:5" ht="15" x14ac:dyDescent="0.25">
      <c r="A44" s="5" t="s">
        <v>44</v>
      </c>
      <c r="B44" s="6">
        <v>2946890</v>
      </c>
      <c r="C44" s="6" t="s">
        <v>8</v>
      </c>
      <c r="D44" s="6" t="s">
        <v>8</v>
      </c>
      <c r="E44" s="6" t="s">
        <v>8</v>
      </c>
    </row>
    <row r="45" spans="1:5" ht="15" x14ac:dyDescent="0.25">
      <c r="A45" s="5" t="s">
        <v>45</v>
      </c>
      <c r="B45" s="6">
        <v>120654</v>
      </c>
      <c r="C45" s="6">
        <v>31465</v>
      </c>
      <c r="D45" s="6">
        <v>29964</v>
      </c>
      <c r="E45" s="6">
        <v>1501</v>
      </c>
    </row>
    <row r="46" spans="1:5" ht="15" x14ac:dyDescent="0.25">
      <c r="A46" s="5" t="s">
        <v>46</v>
      </c>
      <c r="B46" s="6">
        <v>3422453</v>
      </c>
      <c r="C46" s="6">
        <v>838158</v>
      </c>
      <c r="D46" s="6">
        <v>837919</v>
      </c>
      <c r="E46" s="6">
        <v>239</v>
      </c>
    </row>
    <row r="47" spans="1:5" ht="15" x14ac:dyDescent="0.25">
      <c r="A47" s="5" t="s">
        <v>47</v>
      </c>
      <c r="B47" s="6">
        <v>1077766</v>
      </c>
      <c r="C47" s="6">
        <v>303033</v>
      </c>
      <c r="D47" s="6">
        <v>303033</v>
      </c>
      <c r="E47" s="6">
        <v>0</v>
      </c>
    </row>
    <row r="48" spans="1:5" ht="15" x14ac:dyDescent="0.25">
      <c r="A48" s="5" t="s">
        <v>48</v>
      </c>
      <c r="B48" s="6">
        <v>1340114</v>
      </c>
      <c r="C48" s="6">
        <v>719700</v>
      </c>
      <c r="D48" s="6">
        <v>608684</v>
      </c>
      <c r="E48" s="6">
        <v>111016</v>
      </c>
    </row>
    <row r="49" spans="1:5" ht="15" x14ac:dyDescent="0.25">
      <c r="A49" s="5" t="s">
        <v>49</v>
      </c>
      <c r="B49" s="6">
        <v>3459823</v>
      </c>
      <c r="C49" s="6">
        <v>1085603</v>
      </c>
      <c r="D49" s="6">
        <v>1024336</v>
      </c>
      <c r="E49" s="6">
        <v>61267</v>
      </c>
    </row>
    <row r="50" spans="1:5" ht="15" x14ac:dyDescent="0.25">
      <c r="A50" s="5" t="s">
        <v>50</v>
      </c>
      <c r="B50" s="6">
        <v>1525572</v>
      </c>
      <c r="C50" s="6">
        <v>695102</v>
      </c>
      <c r="D50" s="6" t="s">
        <v>8</v>
      </c>
      <c r="E50" s="6">
        <v>695102</v>
      </c>
    </row>
    <row r="51" spans="1:5" ht="15" x14ac:dyDescent="0.25">
      <c r="A51" s="5" t="s">
        <v>51</v>
      </c>
      <c r="B51" s="6">
        <v>358348</v>
      </c>
      <c r="C51" s="6">
        <v>97376</v>
      </c>
      <c r="D51" s="6">
        <v>97376</v>
      </c>
      <c r="E51" s="6">
        <v>0</v>
      </c>
    </row>
    <row r="52" spans="1:5" ht="15" x14ac:dyDescent="0.25">
      <c r="A52" s="5" t="s">
        <v>52</v>
      </c>
      <c r="B52" s="6">
        <v>1560932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109315</v>
      </c>
      <c r="C53" s="6">
        <v>10164</v>
      </c>
      <c r="D53" s="6">
        <v>10164</v>
      </c>
      <c r="E53" s="6">
        <v>0</v>
      </c>
    </row>
    <row r="54" spans="1:5" ht="15" x14ac:dyDescent="0.25">
      <c r="A54" s="5" t="s">
        <v>54</v>
      </c>
      <c r="B54" s="6">
        <v>1841592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5438284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428331</v>
      </c>
      <c r="C56" s="6">
        <v>113580</v>
      </c>
      <c r="D56" s="6">
        <v>112521</v>
      </c>
      <c r="E56" s="6">
        <v>1059</v>
      </c>
    </row>
    <row r="57" spans="1:5" ht="15" x14ac:dyDescent="0.25">
      <c r="A57" s="5" t="s">
        <v>57</v>
      </c>
      <c r="B57" s="6">
        <v>190131</v>
      </c>
      <c r="C57" s="6">
        <v>79579</v>
      </c>
      <c r="D57" s="6">
        <v>0</v>
      </c>
      <c r="E57" s="6">
        <v>79579</v>
      </c>
    </row>
    <row r="58" spans="1:5" ht="15" x14ac:dyDescent="0.25">
      <c r="A58" s="5" t="s">
        <v>58</v>
      </c>
      <c r="B58" s="6">
        <v>30867</v>
      </c>
      <c r="C58" s="6">
        <v>14556</v>
      </c>
      <c r="D58" s="6" t="s">
        <v>8</v>
      </c>
      <c r="E58" s="6">
        <v>14556</v>
      </c>
    </row>
    <row r="59" spans="1:5" ht="15" x14ac:dyDescent="0.25">
      <c r="A59" s="5" t="s">
        <v>59</v>
      </c>
      <c r="B59" s="6">
        <v>1959631</v>
      </c>
      <c r="C59" s="6">
        <v>739411</v>
      </c>
      <c r="D59" s="6">
        <v>739411</v>
      </c>
      <c r="E59" s="6">
        <v>0</v>
      </c>
    </row>
    <row r="60" spans="1:5" ht="15" x14ac:dyDescent="0.25">
      <c r="A60" s="5" t="s">
        <v>60</v>
      </c>
      <c r="B60" s="6">
        <v>1981472</v>
      </c>
      <c r="C60" s="6">
        <v>708463</v>
      </c>
      <c r="D60" s="6">
        <v>688514</v>
      </c>
      <c r="E60" s="6">
        <v>19949</v>
      </c>
    </row>
    <row r="61" spans="1:5" ht="15" x14ac:dyDescent="0.25">
      <c r="A61" s="5" t="s">
        <v>61</v>
      </c>
      <c r="B61" s="6">
        <v>583289</v>
      </c>
      <c r="C61" s="6">
        <v>207927</v>
      </c>
      <c r="D61" s="6">
        <v>207927</v>
      </c>
      <c r="E61" s="6">
        <v>0</v>
      </c>
    </row>
    <row r="62" spans="1:5" ht="15" x14ac:dyDescent="0.25">
      <c r="A62" s="5" t="s">
        <v>62</v>
      </c>
      <c r="B62" s="6">
        <v>1437713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78650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95335850</v>
      </c>
      <c r="C64" s="8">
        <f>SUM(C8:C63)</f>
        <v>23634543</v>
      </c>
      <c r="D64" s="8">
        <f>SUM(D8:D63)</f>
        <v>18666150</v>
      </c>
      <c r="E64" s="8">
        <f>SUM(E8:E63)</f>
        <v>4968393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December 2, 2024 9:20 AM&amp;R&amp;"-,Regular"&amp;7Page : &amp;"-,Regular"&amp;7&amp;P&amp;"-,Regular"&amp;7 of &amp;"-,Regular"&amp;7&amp;N</oddFooter>
    <evenFooter>&amp;L&amp;"-,Regular"&amp;7Created On: Monday, December 2, 2024 9:20 AM&amp;R&amp;"-,Regular"&amp;7Page : &amp;"-,Regular"&amp;7&amp;P&amp;"-,Regular"&amp;7 of &amp;"-,Regular"&amp;7&amp;N</evenFooter>
    <firstFooter>&amp;L&amp;"-,Regular"&amp;7Created On: Monday, December 2, 2024 9:20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92AE-F6A4-4519-B594-551748CA3832}">
  <sheetPr>
    <pageSetUpPr fitToPage="1"/>
  </sheetPr>
  <dimension ref="A1:E89"/>
  <sheetViews>
    <sheetView workbookViewId="0">
      <pane ySplit="7" topLeftCell="A8" activePane="bottomLeft" state="frozenSplit"/>
      <selection activeCell="D58" sqref="D58"/>
      <selection pane="bottomLeft" activeCell="D58" sqref="D58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190</v>
      </c>
      <c r="B2" s="2"/>
      <c r="C2" s="2"/>
      <c r="D2" s="2"/>
      <c r="E2" s="2"/>
    </row>
    <row r="3" spans="1:5" ht="15" x14ac:dyDescent="0.25">
      <c r="A3" s="2" t="s">
        <v>189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1274106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244138</v>
      </c>
      <c r="C9" s="6">
        <v>70716</v>
      </c>
      <c r="D9" s="6">
        <v>70716</v>
      </c>
      <c r="E9" s="6">
        <v>0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2189701</v>
      </c>
      <c r="C11" s="6">
        <v>645977</v>
      </c>
      <c r="D11" s="6">
        <v>128255</v>
      </c>
      <c r="E11" s="6">
        <v>517722</v>
      </c>
    </row>
    <row r="12" spans="1:5" ht="15" x14ac:dyDescent="0.25">
      <c r="A12" s="5" t="s">
        <v>12</v>
      </c>
      <c r="B12" s="6">
        <v>833064</v>
      </c>
      <c r="C12" s="6">
        <v>258671</v>
      </c>
      <c r="D12" s="6">
        <v>249405</v>
      </c>
      <c r="E12" s="6">
        <v>9266</v>
      </c>
    </row>
    <row r="13" spans="1:5" ht="15" x14ac:dyDescent="0.25">
      <c r="A13" s="5" t="s">
        <v>13</v>
      </c>
      <c r="B13" s="6">
        <v>15027928</v>
      </c>
      <c r="C13" s="6">
        <v>5158727</v>
      </c>
      <c r="D13" s="6">
        <v>5129486</v>
      </c>
      <c r="E13" s="6">
        <v>29241</v>
      </c>
    </row>
    <row r="14" spans="1:5" ht="15" x14ac:dyDescent="0.25">
      <c r="A14" s="5" t="s">
        <v>14</v>
      </c>
      <c r="B14" s="6">
        <v>1514567</v>
      </c>
      <c r="C14" s="6">
        <v>545149</v>
      </c>
      <c r="D14" s="6">
        <v>533777</v>
      </c>
      <c r="E14" s="6">
        <v>11372</v>
      </c>
    </row>
    <row r="15" spans="1:5" ht="15" x14ac:dyDescent="0.25">
      <c r="A15" s="5" t="s">
        <v>15</v>
      </c>
      <c r="B15" s="6">
        <v>1112775</v>
      </c>
      <c r="C15" s="6">
        <v>364726</v>
      </c>
      <c r="D15" s="6">
        <v>333638</v>
      </c>
      <c r="E15" s="6">
        <v>31088</v>
      </c>
    </row>
    <row r="16" spans="1:5" ht="15" x14ac:dyDescent="0.25">
      <c r="A16" s="5" t="s">
        <v>16</v>
      </c>
      <c r="B16" s="6">
        <v>281904</v>
      </c>
      <c r="C16" s="6">
        <v>94924</v>
      </c>
      <c r="D16" s="6">
        <v>14084</v>
      </c>
      <c r="E16" s="6">
        <v>80840</v>
      </c>
    </row>
    <row r="17" spans="1:5" ht="15" x14ac:dyDescent="0.25">
      <c r="A17" s="5" t="s">
        <v>17</v>
      </c>
      <c r="B17" s="6">
        <v>287494</v>
      </c>
      <c r="C17" s="6">
        <v>133863</v>
      </c>
      <c r="D17" s="6">
        <v>88870</v>
      </c>
      <c r="E17" s="6">
        <v>44993</v>
      </c>
    </row>
    <row r="18" spans="1:5" ht="15" x14ac:dyDescent="0.25">
      <c r="A18" s="5" t="s">
        <v>18</v>
      </c>
      <c r="B18" s="6">
        <v>5144491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2427413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45008</v>
      </c>
      <c r="C20" s="6">
        <v>6310</v>
      </c>
      <c r="D20" s="6" t="s">
        <v>8</v>
      </c>
      <c r="E20" s="6">
        <v>6310</v>
      </c>
    </row>
    <row r="21" spans="1:5" ht="15" x14ac:dyDescent="0.25">
      <c r="A21" s="5" t="s">
        <v>21</v>
      </c>
      <c r="B21" s="6">
        <v>471887</v>
      </c>
      <c r="C21" s="6">
        <v>181425</v>
      </c>
      <c r="D21" s="6">
        <v>30183</v>
      </c>
      <c r="E21" s="6">
        <v>151242</v>
      </c>
    </row>
    <row r="22" spans="1:5" ht="15" x14ac:dyDescent="0.25">
      <c r="A22" s="5" t="s">
        <v>22</v>
      </c>
      <c r="B22" s="6">
        <v>365633</v>
      </c>
      <c r="C22" s="6">
        <v>98791</v>
      </c>
      <c r="D22" s="6">
        <v>98791</v>
      </c>
      <c r="E22" s="6">
        <v>0</v>
      </c>
    </row>
    <row r="23" spans="1:5" ht="15" x14ac:dyDescent="0.25">
      <c r="A23" s="5" t="s">
        <v>23</v>
      </c>
      <c r="B23" s="6">
        <v>3331785</v>
      </c>
      <c r="C23" s="6">
        <v>971058</v>
      </c>
      <c r="D23" s="6">
        <v>888665</v>
      </c>
      <c r="E23" s="6">
        <v>82393</v>
      </c>
    </row>
    <row r="24" spans="1:5" ht="15" x14ac:dyDescent="0.25">
      <c r="A24" s="5" t="s">
        <v>24</v>
      </c>
      <c r="B24" s="6">
        <v>1967139</v>
      </c>
      <c r="C24" s="6">
        <v>585137</v>
      </c>
      <c r="D24" s="6">
        <v>585137</v>
      </c>
      <c r="E24" s="6">
        <v>0</v>
      </c>
    </row>
    <row r="25" spans="1:5" ht="15" x14ac:dyDescent="0.25">
      <c r="A25" s="5" t="s">
        <v>25</v>
      </c>
      <c r="B25" s="6">
        <v>665102</v>
      </c>
      <c r="C25" s="6">
        <v>203611</v>
      </c>
      <c r="D25" s="6">
        <v>184568</v>
      </c>
      <c r="E25" s="6">
        <v>19043</v>
      </c>
    </row>
    <row r="26" spans="1:5" ht="15" x14ac:dyDescent="0.25">
      <c r="A26" s="5" t="s">
        <v>26</v>
      </c>
      <c r="B26" s="6">
        <v>431836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1512894</v>
      </c>
      <c r="C27" s="6">
        <v>591963</v>
      </c>
      <c r="D27" s="6">
        <v>591963</v>
      </c>
      <c r="E27" s="6">
        <v>0</v>
      </c>
    </row>
    <row r="28" spans="1:5" ht="15" x14ac:dyDescent="0.25">
      <c r="A28" s="5" t="s">
        <v>28</v>
      </c>
      <c r="B28" s="6">
        <v>2160030</v>
      </c>
      <c r="C28" s="6">
        <v>989621</v>
      </c>
      <c r="D28" s="6">
        <v>727104</v>
      </c>
      <c r="E28" s="6">
        <v>262517</v>
      </c>
    </row>
    <row r="29" spans="1:5" ht="15" x14ac:dyDescent="0.25">
      <c r="A29" s="5" t="s">
        <v>29</v>
      </c>
      <c r="B29" s="6">
        <v>400654</v>
      </c>
      <c r="C29" s="6">
        <v>114835</v>
      </c>
      <c r="D29" s="6">
        <v>91122</v>
      </c>
      <c r="E29" s="6">
        <v>23713</v>
      </c>
    </row>
    <row r="30" spans="1:5" ht="15" x14ac:dyDescent="0.25">
      <c r="A30" s="5" t="s">
        <v>30</v>
      </c>
      <c r="B30" s="6">
        <v>1572628</v>
      </c>
      <c r="C30" s="6">
        <v>457294</v>
      </c>
      <c r="D30" s="6">
        <v>457294</v>
      </c>
      <c r="E30" s="6">
        <v>0</v>
      </c>
    </row>
    <row r="31" spans="1:5" ht="15" x14ac:dyDescent="0.25">
      <c r="A31" s="5" t="s">
        <v>31</v>
      </c>
      <c r="B31" s="6">
        <v>2275212</v>
      </c>
      <c r="C31" s="6">
        <v>481368</v>
      </c>
      <c r="D31" s="6">
        <v>0</v>
      </c>
      <c r="E31" s="6">
        <v>481368</v>
      </c>
    </row>
    <row r="32" spans="1:5" ht="15" x14ac:dyDescent="0.25">
      <c r="A32" s="5" t="s">
        <v>32</v>
      </c>
      <c r="B32" s="6">
        <v>2906966</v>
      </c>
      <c r="C32" s="6">
        <v>1006704</v>
      </c>
      <c r="D32" s="6">
        <v>937715</v>
      </c>
      <c r="E32" s="6">
        <v>68989</v>
      </c>
    </row>
    <row r="33" spans="1:5" ht="15" x14ac:dyDescent="0.25">
      <c r="A33" s="5" t="s">
        <v>33</v>
      </c>
      <c r="B33" s="6">
        <v>1366844</v>
      </c>
      <c r="C33" s="6">
        <v>305284</v>
      </c>
      <c r="D33" s="6">
        <v>305284</v>
      </c>
      <c r="E33" s="6">
        <v>0</v>
      </c>
    </row>
    <row r="34" spans="1:5" ht="15" x14ac:dyDescent="0.25">
      <c r="A34" s="5" t="s">
        <v>34</v>
      </c>
      <c r="B34" s="6">
        <v>779328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1421390</v>
      </c>
      <c r="C35" s="6">
        <v>339843</v>
      </c>
      <c r="D35" s="6">
        <v>339843</v>
      </c>
      <c r="E35" s="6">
        <v>0</v>
      </c>
    </row>
    <row r="36" spans="1:5" ht="15" x14ac:dyDescent="0.25">
      <c r="A36" s="5" t="s">
        <v>36</v>
      </c>
      <c r="B36" s="6">
        <v>250619</v>
      </c>
      <c r="C36" s="6">
        <v>91419</v>
      </c>
      <c r="D36" s="6">
        <v>91419</v>
      </c>
      <c r="E36" s="6">
        <v>0</v>
      </c>
    </row>
    <row r="37" spans="1:5" ht="15" x14ac:dyDescent="0.25">
      <c r="A37" s="5" t="s">
        <v>37</v>
      </c>
      <c r="B37" s="6">
        <v>15496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378820</v>
      </c>
      <c r="C38" s="6">
        <v>81211</v>
      </c>
      <c r="D38" s="6">
        <v>79334</v>
      </c>
      <c r="E38" s="6">
        <v>1877</v>
      </c>
    </row>
    <row r="39" spans="1:5" ht="15" x14ac:dyDescent="0.25">
      <c r="A39" s="5" t="s">
        <v>39</v>
      </c>
      <c r="B39" s="6">
        <v>833428</v>
      </c>
      <c r="C39" s="6">
        <v>374579</v>
      </c>
      <c r="D39" s="6">
        <v>374579</v>
      </c>
      <c r="E39" s="6">
        <v>0</v>
      </c>
    </row>
    <row r="40" spans="1:5" ht="15" x14ac:dyDescent="0.25">
      <c r="A40" s="5" t="s">
        <v>40</v>
      </c>
      <c r="B40" s="6">
        <v>182772</v>
      </c>
      <c r="C40" s="6">
        <v>60444</v>
      </c>
      <c r="D40" s="6">
        <v>60009</v>
      </c>
      <c r="E40" s="6">
        <v>435</v>
      </c>
    </row>
    <row r="41" spans="1:5" ht="15" x14ac:dyDescent="0.25">
      <c r="A41" s="5" t="s">
        <v>41</v>
      </c>
      <c r="B41" s="6">
        <v>2048414</v>
      </c>
      <c r="C41" s="6">
        <v>733766</v>
      </c>
      <c r="D41" s="6">
        <v>733766</v>
      </c>
      <c r="E41" s="6">
        <v>0</v>
      </c>
    </row>
    <row r="42" spans="1:5" ht="15" x14ac:dyDescent="0.25">
      <c r="A42" s="5" t="s">
        <v>42</v>
      </c>
      <c r="B42" s="6">
        <v>912357</v>
      </c>
      <c r="C42" s="6">
        <v>285526</v>
      </c>
      <c r="D42" s="6">
        <v>285526</v>
      </c>
      <c r="E42" s="6">
        <v>0</v>
      </c>
    </row>
    <row r="43" spans="1:5" ht="15" x14ac:dyDescent="0.25">
      <c r="A43" s="5" t="s">
        <v>43</v>
      </c>
      <c r="B43" s="6">
        <v>7702202</v>
      </c>
      <c r="C43" s="6">
        <v>2484812</v>
      </c>
      <c r="D43" s="6">
        <v>411049</v>
      </c>
      <c r="E43" s="6">
        <v>2073763</v>
      </c>
    </row>
    <row r="44" spans="1:5" ht="15" x14ac:dyDescent="0.25">
      <c r="A44" s="5" t="s">
        <v>44</v>
      </c>
      <c r="B44" s="6">
        <v>2943557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120476</v>
      </c>
      <c r="C45" s="6">
        <v>31180</v>
      </c>
      <c r="D45" s="6">
        <v>29683</v>
      </c>
      <c r="E45" s="6">
        <v>1497</v>
      </c>
    </row>
    <row r="46" spans="1:5" ht="15" x14ac:dyDescent="0.25">
      <c r="A46" s="5" t="s">
        <v>46</v>
      </c>
      <c r="B46" s="6">
        <v>3383139</v>
      </c>
      <c r="C46" s="6">
        <v>821886</v>
      </c>
      <c r="D46" s="6">
        <v>821649</v>
      </c>
      <c r="E46" s="6">
        <v>237</v>
      </c>
    </row>
    <row r="47" spans="1:5" ht="15" x14ac:dyDescent="0.25">
      <c r="A47" s="5" t="s">
        <v>47</v>
      </c>
      <c r="B47" s="6">
        <v>1060227</v>
      </c>
      <c r="C47" s="6">
        <v>289589</v>
      </c>
      <c r="D47" s="6">
        <v>289589</v>
      </c>
      <c r="E47" s="6">
        <v>0</v>
      </c>
    </row>
    <row r="48" spans="1:5" ht="15" x14ac:dyDescent="0.25">
      <c r="A48" s="5" t="s">
        <v>48</v>
      </c>
      <c r="B48" s="6">
        <v>1339154</v>
      </c>
      <c r="C48" s="6">
        <v>711787</v>
      </c>
      <c r="D48" s="6">
        <v>600424</v>
      </c>
      <c r="E48" s="6">
        <v>111363</v>
      </c>
    </row>
    <row r="49" spans="1:5" ht="15" x14ac:dyDescent="0.25">
      <c r="A49" s="5" t="s">
        <v>49</v>
      </c>
      <c r="B49" s="6">
        <v>3398908</v>
      </c>
      <c r="C49" s="6">
        <v>1053921</v>
      </c>
      <c r="D49" s="6">
        <v>994139</v>
      </c>
      <c r="E49" s="6">
        <v>59782</v>
      </c>
    </row>
    <row r="50" spans="1:5" ht="15" x14ac:dyDescent="0.25">
      <c r="A50" s="5" t="s">
        <v>50</v>
      </c>
      <c r="B50" s="6">
        <v>1548689</v>
      </c>
      <c r="C50" s="6">
        <v>716192</v>
      </c>
      <c r="D50" s="6" t="s">
        <v>8</v>
      </c>
      <c r="E50" s="6">
        <v>716192</v>
      </c>
    </row>
    <row r="51" spans="1:5" ht="15" x14ac:dyDescent="0.25">
      <c r="A51" s="5" t="s">
        <v>51</v>
      </c>
      <c r="B51" s="6">
        <v>350858</v>
      </c>
      <c r="C51" s="6">
        <v>93050</v>
      </c>
      <c r="D51" s="6">
        <v>93050</v>
      </c>
      <c r="E51" s="6">
        <v>0</v>
      </c>
    </row>
    <row r="52" spans="1:5" ht="15" x14ac:dyDescent="0.25">
      <c r="A52" s="5" t="s">
        <v>52</v>
      </c>
      <c r="B52" s="6">
        <v>1541814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110371</v>
      </c>
      <c r="C53" s="6">
        <v>12623</v>
      </c>
      <c r="D53" s="6">
        <v>12623</v>
      </c>
      <c r="E53" s="6">
        <v>0</v>
      </c>
    </row>
    <row r="54" spans="1:5" ht="15" x14ac:dyDescent="0.25">
      <c r="A54" s="5" t="s">
        <v>54</v>
      </c>
      <c r="B54" s="6">
        <v>1827750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5152234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411516</v>
      </c>
      <c r="C56" s="6">
        <v>108287</v>
      </c>
      <c r="D56" s="6">
        <v>107202</v>
      </c>
      <c r="E56" s="6">
        <v>1085</v>
      </c>
    </row>
    <row r="57" spans="1:5" ht="15" x14ac:dyDescent="0.25">
      <c r="A57" s="5" t="s">
        <v>57</v>
      </c>
      <c r="B57" s="6">
        <v>185559</v>
      </c>
      <c r="C57" s="6">
        <v>76438</v>
      </c>
      <c r="D57" s="6">
        <v>0</v>
      </c>
      <c r="E57" s="6">
        <v>76438</v>
      </c>
    </row>
    <row r="58" spans="1:5" ht="15" x14ac:dyDescent="0.25">
      <c r="A58" s="5" t="s">
        <v>58</v>
      </c>
      <c r="B58" s="6">
        <v>30690</v>
      </c>
      <c r="C58" s="6">
        <v>14241</v>
      </c>
      <c r="D58" s="6" t="s">
        <v>8</v>
      </c>
      <c r="E58" s="6">
        <v>14241</v>
      </c>
    </row>
    <row r="59" spans="1:5" ht="15" x14ac:dyDescent="0.25">
      <c r="A59" s="5" t="s">
        <v>59</v>
      </c>
      <c r="B59" s="6">
        <v>1968702</v>
      </c>
      <c r="C59" s="6">
        <v>747844</v>
      </c>
      <c r="D59" s="6">
        <v>747844</v>
      </c>
      <c r="E59" s="6">
        <v>0</v>
      </c>
    </row>
    <row r="60" spans="1:5" ht="15" x14ac:dyDescent="0.25">
      <c r="A60" s="5" t="s">
        <v>60</v>
      </c>
      <c r="B60" s="6">
        <v>1979335</v>
      </c>
      <c r="C60" s="6">
        <v>702750</v>
      </c>
      <c r="D60" s="6">
        <v>681988</v>
      </c>
      <c r="E60" s="6">
        <v>20762</v>
      </c>
    </row>
    <row r="61" spans="1:5" ht="15" x14ac:dyDescent="0.25">
      <c r="A61" s="5" t="s">
        <v>61</v>
      </c>
      <c r="B61" s="6">
        <v>574968</v>
      </c>
      <c r="C61" s="6">
        <v>198563</v>
      </c>
      <c r="D61" s="6">
        <v>198563</v>
      </c>
      <c r="E61" s="6">
        <v>0</v>
      </c>
    </row>
    <row r="62" spans="1:5" ht="15" x14ac:dyDescent="0.25">
      <c r="A62" s="5" t="s">
        <v>62</v>
      </c>
      <c r="B62" s="6">
        <v>1422573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79329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93799620</v>
      </c>
      <c r="C64" s="8">
        <f>SUM(C8:C63)</f>
        <v>23296105</v>
      </c>
      <c r="D64" s="8">
        <f>SUM(D8:D63)</f>
        <v>18398336</v>
      </c>
      <c r="E64" s="8">
        <f>SUM(E8:E63)</f>
        <v>4897769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February 28, 2025 9:05 AM&amp;R&amp;"-,Regular"&amp;7Page : &amp;"-,Regular"&amp;7&amp;P&amp;"-,Regular"&amp;7 of &amp;"-,Regular"&amp;7&amp;N</oddFooter>
    <evenFooter>&amp;L&amp;"-,Regular"&amp;7Created On: Friday, February 28, 2025 9:05 AM&amp;R&amp;"-,Regular"&amp;7Page : &amp;"-,Regular"&amp;7&amp;P&amp;"-,Regular"&amp;7 of &amp;"-,Regular"&amp;7&amp;N</evenFooter>
    <firstFooter>&amp;L&amp;"-,Regular"&amp;7Created On: Friday, February 28, 2025 9:05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F5C4-068D-484B-BF73-08DF4E405D35}">
  <sheetPr>
    <pageSetUpPr fitToPage="1"/>
  </sheetPr>
  <dimension ref="A1:E89"/>
  <sheetViews>
    <sheetView workbookViewId="0">
      <pane ySplit="7" topLeftCell="A11" activePane="bottomLeft" state="frozenSplit"/>
      <selection activeCell="D58" sqref="D58"/>
      <selection pane="bottomLeft" activeCell="D58" sqref="D58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191</v>
      </c>
      <c r="B2" s="2"/>
      <c r="C2" s="2"/>
      <c r="D2" s="2"/>
      <c r="E2" s="2"/>
    </row>
    <row r="3" spans="1:5" ht="15" x14ac:dyDescent="0.25">
      <c r="A3" s="2" t="s">
        <v>189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1251355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244027</v>
      </c>
      <c r="C9" s="6">
        <v>71170</v>
      </c>
      <c r="D9" s="6">
        <v>71170</v>
      </c>
      <c r="E9" s="6">
        <v>0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2180246</v>
      </c>
      <c r="C11" s="6">
        <v>643662</v>
      </c>
      <c r="D11" s="6">
        <v>125377</v>
      </c>
      <c r="E11" s="6">
        <v>518285</v>
      </c>
    </row>
    <row r="12" spans="1:5" ht="15" x14ac:dyDescent="0.25">
      <c r="A12" s="5" t="s">
        <v>12</v>
      </c>
      <c r="B12" s="6">
        <v>823207</v>
      </c>
      <c r="C12" s="6">
        <v>258406</v>
      </c>
      <c r="D12" s="6">
        <v>249727</v>
      </c>
      <c r="E12" s="6">
        <v>8679</v>
      </c>
    </row>
    <row r="13" spans="1:5" ht="15" x14ac:dyDescent="0.25">
      <c r="A13" s="5" t="s">
        <v>13</v>
      </c>
      <c r="B13" s="6">
        <v>14851364</v>
      </c>
      <c r="C13" s="6">
        <v>5089454</v>
      </c>
      <c r="D13" s="6">
        <v>5060662</v>
      </c>
      <c r="E13" s="6">
        <v>28792</v>
      </c>
    </row>
    <row r="14" spans="1:5" ht="15" x14ac:dyDescent="0.25">
      <c r="A14" s="5" t="s">
        <v>14</v>
      </c>
      <c r="B14" s="6">
        <v>1418765</v>
      </c>
      <c r="C14" s="6">
        <v>500826</v>
      </c>
      <c r="D14" s="6">
        <v>489616</v>
      </c>
      <c r="E14" s="6">
        <v>11210</v>
      </c>
    </row>
    <row r="15" spans="1:5" ht="15" x14ac:dyDescent="0.25">
      <c r="A15" s="5" t="s">
        <v>15</v>
      </c>
      <c r="B15" s="6">
        <v>1121137</v>
      </c>
      <c r="C15" s="6">
        <v>355012</v>
      </c>
      <c r="D15" s="6">
        <v>325287</v>
      </c>
      <c r="E15" s="6">
        <v>29725</v>
      </c>
    </row>
    <row r="16" spans="1:5" ht="15" x14ac:dyDescent="0.25">
      <c r="A16" s="5" t="s">
        <v>16</v>
      </c>
      <c r="B16" s="6">
        <v>277013</v>
      </c>
      <c r="C16" s="6">
        <v>92067</v>
      </c>
      <c r="D16" s="6">
        <v>13549</v>
      </c>
      <c r="E16" s="6">
        <v>78518</v>
      </c>
    </row>
    <row r="17" spans="1:5" ht="15" x14ac:dyDescent="0.25">
      <c r="A17" s="5" t="s">
        <v>17</v>
      </c>
      <c r="B17" s="6">
        <v>283455</v>
      </c>
      <c r="C17" s="6">
        <v>131235</v>
      </c>
      <c r="D17" s="6">
        <v>86882</v>
      </c>
      <c r="E17" s="6">
        <v>44353</v>
      </c>
    </row>
    <row r="18" spans="1:5" ht="15" x14ac:dyDescent="0.25">
      <c r="A18" s="5" t="s">
        <v>18</v>
      </c>
      <c r="B18" s="6">
        <v>4982505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2278390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45007</v>
      </c>
      <c r="C20" s="6">
        <v>6334</v>
      </c>
      <c r="D20" s="6" t="s">
        <v>8</v>
      </c>
      <c r="E20" s="6">
        <v>6334</v>
      </c>
    </row>
    <row r="21" spans="1:5" ht="15" x14ac:dyDescent="0.25">
      <c r="A21" s="5" t="s">
        <v>21</v>
      </c>
      <c r="B21" s="6">
        <v>475380</v>
      </c>
      <c r="C21" s="6">
        <v>180408</v>
      </c>
      <c r="D21" s="6">
        <v>29219</v>
      </c>
      <c r="E21" s="6">
        <v>151189</v>
      </c>
    </row>
    <row r="22" spans="1:5" ht="15" x14ac:dyDescent="0.25">
      <c r="A22" s="5" t="s">
        <v>22</v>
      </c>
      <c r="B22" s="6">
        <v>366407</v>
      </c>
      <c r="C22" s="6">
        <v>99277</v>
      </c>
      <c r="D22" s="6">
        <v>99277</v>
      </c>
      <c r="E22" s="6">
        <v>0</v>
      </c>
    </row>
    <row r="23" spans="1:5" ht="15" x14ac:dyDescent="0.25">
      <c r="A23" s="5" t="s">
        <v>23</v>
      </c>
      <c r="B23" s="6">
        <v>3289616</v>
      </c>
      <c r="C23" s="6">
        <v>959639</v>
      </c>
      <c r="D23" s="6">
        <v>876149</v>
      </c>
      <c r="E23" s="6">
        <v>83490</v>
      </c>
    </row>
    <row r="24" spans="1:5" ht="15" x14ac:dyDescent="0.25">
      <c r="A24" s="5" t="s">
        <v>24</v>
      </c>
      <c r="B24" s="6">
        <v>1932039</v>
      </c>
      <c r="C24" s="6">
        <v>582862</v>
      </c>
      <c r="D24" s="6">
        <v>582862</v>
      </c>
      <c r="E24" s="6">
        <v>0</v>
      </c>
    </row>
    <row r="25" spans="1:5" ht="15" x14ac:dyDescent="0.25">
      <c r="A25" s="5" t="s">
        <v>25</v>
      </c>
      <c r="B25" s="6">
        <v>644915</v>
      </c>
      <c r="C25" s="6">
        <v>196623</v>
      </c>
      <c r="D25" s="6">
        <v>181295</v>
      </c>
      <c r="E25" s="6">
        <v>15328</v>
      </c>
    </row>
    <row r="26" spans="1:5" ht="15" x14ac:dyDescent="0.25">
      <c r="A26" s="5" t="s">
        <v>26</v>
      </c>
      <c r="B26" s="6">
        <v>419246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1487520</v>
      </c>
      <c r="C27" s="6">
        <v>573483</v>
      </c>
      <c r="D27" s="6">
        <v>573483</v>
      </c>
      <c r="E27" s="6">
        <v>0</v>
      </c>
    </row>
    <row r="28" spans="1:5" ht="15" x14ac:dyDescent="0.25">
      <c r="A28" s="5" t="s">
        <v>28</v>
      </c>
      <c r="B28" s="6">
        <v>2131805</v>
      </c>
      <c r="C28" s="6">
        <v>971682</v>
      </c>
      <c r="D28" s="6">
        <v>711818</v>
      </c>
      <c r="E28" s="6">
        <v>259864</v>
      </c>
    </row>
    <row r="29" spans="1:5" ht="15" x14ac:dyDescent="0.25">
      <c r="A29" s="5" t="s">
        <v>29</v>
      </c>
      <c r="B29" s="6">
        <v>401727</v>
      </c>
      <c r="C29" s="6">
        <v>114177</v>
      </c>
      <c r="D29" s="6">
        <v>90514</v>
      </c>
      <c r="E29" s="6">
        <v>23663</v>
      </c>
    </row>
    <row r="30" spans="1:5" ht="15" x14ac:dyDescent="0.25">
      <c r="A30" s="5" t="s">
        <v>30</v>
      </c>
      <c r="B30" s="6">
        <v>1574280</v>
      </c>
      <c r="C30" s="6">
        <v>459559</v>
      </c>
      <c r="D30" s="6">
        <v>459559</v>
      </c>
      <c r="E30" s="6">
        <v>0</v>
      </c>
    </row>
    <row r="31" spans="1:5" ht="15" x14ac:dyDescent="0.25">
      <c r="A31" s="5" t="s">
        <v>31</v>
      </c>
      <c r="B31" s="6">
        <v>2217114</v>
      </c>
      <c r="C31" s="6">
        <v>456045</v>
      </c>
      <c r="D31" s="6">
        <v>0</v>
      </c>
      <c r="E31" s="6">
        <v>456045</v>
      </c>
    </row>
    <row r="32" spans="1:5" ht="15" x14ac:dyDescent="0.25">
      <c r="A32" s="5" t="s">
        <v>32</v>
      </c>
      <c r="B32" s="6">
        <v>2824335</v>
      </c>
      <c r="C32" s="6">
        <v>970805</v>
      </c>
      <c r="D32" s="6">
        <v>904539</v>
      </c>
      <c r="E32" s="6">
        <v>66266</v>
      </c>
    </row>
    <row r="33" spans="1:5" ht="15" x14ac:dyDescent="0.25">
      <c r="A33" s="5" t="s">
        <v>33</v>
      </c>
      <c r="B33" s="6">
        <v>1362801</v>
      </c>
      <c r="C33" s="6">
        <v>305903</v>
      </c>
      <c r="D33" s="6">
        <v>305903</v>
      </c>
      <c r="E33" s="6">
        <v>0</v>
      </c>
    </row>
    <row r="34" spans="1:5" ht="15" x14ac:dyDescent="0.25">
      <c r="A34" s="5" t="s">
        <v>34</v>
      </c>
      <c r="B34" s="6">
        <v>769171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1403291</v>
      </c>
      <c r="C35" s="6">
        <v>337602</v>
      </c>
      <c r="D35" s="6">
        <v>337602</v>
      </c>
      <c r="E35" s="6">
        <v>0</v>
      </c>
    </row>
    <row r="36" spans="1:5" ht="15" x14ac:dyDescent="0.25">
      <c r="A36" s="5" t="s">
        <v>36</v>
      </c>
      <c r="B36" s="6">
        <v>246661</v>
      </c>
      <c r="C36" s="6">
        <v>89368</v>
      </c>
      <c r="D36" s="6">
        <v>89368</v>
      </c>
      <c r="E36" s="6">
        <v>0</v>
      </c>
    </row>
    <row r="37" spans="1:5" ht="15" x14ac:dyDescent="0.25">
      <c r="A37" s="5" t="s">
        <v>37</v>
      </c>
      <c r="B37" s="6">
        <v>15612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371697</v>
      </c>
      <c r="C38" s="6">
        <v>79599</v>
      </c>
      <c r="D38" s="6">
        <v>77718</v>
      </c>
      <c r="E38" s="6">
        <v>1881</v>
      </c>
    </row>
    <row r="39" spans="1:5" ht="15" x14ac:dyDescent="0.25">
      <c r="A39" s="5" t="s">
        <v>39</v>
      </c>
      <c r="B39" s="6">
        <v>814391</v>
      </c>
      <c r="C39" s="6">
        <v>363515</v>
      </c>
      <c r="D39" s="6">
        <v>363515</v>
      </c>
      <c r="E39" s="6">
        <v>0</v>
      </c>
    </row>
    <row r="40" spans="1:5" ht="15" x14ac:dyDescent="0.25">
      <c r="A40" s="5" t="s">
        <v>40</v>
      </c>
      <c r="B40" s="6">
        <v>181068</v>
      </c>
      <c r="C40" s="6">
        <v>60190</v>
      </c>
      <c r="D40" s="6">
        <v>59721</v>
      </c>
      <c r="E40" s="6">
        <v>469</v>
      </c>
    </row>
    <row r="41" spans="1:5" ht="15" x14ac:dyDescent="0.25">
      <c r="A41" s="5" t="s">
        <v>41</v>
      </c>
      <c r="B41" s="6">
        <v>2008575</v>
      </c>
      <c r="C41" s="6">
        <v>713487</v>
      </c>
      <c r="D41" s="6">
        <v>713487</v>
      </c>
      <c r="E41" s="6">
        <v>0</v>
      </c>
    </row>
    <row r="42" spans="1:5" ht="15" x14ac:dyDescent="0.25">
      <c r="A42" s="5" t="s">
        <v>42</v>
      </c>
      <c r="B42" s="6">
        <v>895689</v>
      </c>
      <c r="C42" s="6">
        <v>283099</v>
      </c>
      <c r="D42" s="6">
        <v>283099</v>
      </c>
      <c r="E42" s="6">
        <v>0</v>
      </c>
    </row>
    <row r="43" spans="1:5" ht="15" x14ac:dyDescent="0.25">
      <c r="A43" s="5" t="s">
        <v>43</v>
      </c>
      <c r="B43" s="6">
        <v>7624292</v>
      </c>
      <c r="C43" s="6">
        <v>2449884</v>
      </c>
      <c r="D43" s="6">
        <v>404929</v>
      </c>
      <c r="E43" s="6">
        <v>2044955</v>
      </c>
    </row>
    <row r="44" spans="1:5" ht="15" x14ac:dyDescent="0.25">
      <c r="A44" s="5" t="s">
        <v>44</v>
      </c>
      <c r="B44" s="6">
        <v>2939177</v>
      </c>
      <c r="C44" s="6">
        <v>0</v>
      </c>
      <c r="D44" s="6">
        <v>0</v>
      </c>
      <c r="E44" s="6">
        <v>0</v>
      </c>
    </row>
    <row r="45" spans="1:5" ht="15" x14ac:dyDescent="0.25">
      <c r="A45" s="5" t="s">
        <v>45</v>
      </c>
      <c r="B45" s="6">
        <v>116877</v>
      </c>
      <c r="C45" s="6">
        <v>29943</v>
      </c>
      <c r="D45" s="6">
        <v>28502</v>
      </c>
      <c r="E45" s="6">
        <v>1441</v>
      </c>
    </row>
    <row r="46" spans="1:5" ht="15" x14ac:dyDescent="0.25">
      <c r="A46" s="5" t="s">
        <v>46</v>
      </c>
      <c r="B46" s="6">
        <v>3342436</v>
      </c>
      <c r="C46" s="6">
        <v>810044</v>
      </c>
      <c r="D46" s="6">
        <v>809803</v>
      </c>
      <c r="E46" s="6">
        <v>241</v>
      </c>
    </row>
    <row r="47" spans="1:5" ht="15" x14ac:dyDescent="0.25">
      <c r="A47" s="5" t="s">
        <v>47</v>
      </c>
      <c r="B47" s="6">
        <v>1017183</v>
      </c>
      <c r="C47" s="6">
        <v>270368</v>
      </c>
      <c r="D47" s="6">
        <v>270368</v>
      </c>
      <c r="E47" s="6">
        <v>0</v>
      </c>
    </row>
    <row r="48" spans="1:5" ht="15" x14ac:dyDescent="0.25">
      <c r="A48" s="5" t="s">
        <v>48</v>
      </c>
      <c r="B48" s="6">
        <v>1333738</v>
      </c>
      <c r="C48" s="6">
        <v>707694</v>
      </c>
      <c r="D48" s="6">
        <v>596072</v>
      </c>
      <c r="E48" s="6">
        <v>111622</v>
      </c>
    </row>
    <row r="49" spans="1:5" ht="15" x14ac:dyDescent="0.25">
      <c r="A49" s="5" t="s">
        <v>49</v>
      </c>
      <c r="B49" s="6">
        <v>3346884</v>
      </c>
      <c r="C49" s="6">
        <v>1027964</v>
      </c>
      <c r="D49" s="6">
        <v>969157</v>
      </c>
      <c r="E49" s="6">
        <v>58807</v>
      </c>
    </row>
    <row r="50" spans="1:5" ht="15" x14ac:dyDescent="0.25">
      <c r="A50" s="5" t="s">
        <v>50</v>
      </c>
      <c r="B50" s="6">
        <v>1528052</v>
      </c>
      <c r="C50" s="6">
        <v>700761</v>
      </c>
      <c r="D50" s="6" t="s">
        <v>8</v>
      </c>
      <c r="E50" s="6">
        <v>700761</v>
      </c>
    </row>
    <row r="51" spans="1:5" ht="15" x14ac:dyDescent="0.25">
      <c r="A51" s="5" t="s">
        <v>51</v>
      </c>
      <c r="B51" s="6">
        <v>347182</v>
      </c>
      <c r="C51" s="6">
        <v>87539</v>
      </c>
      <c r="D51" s="6">
        <v>87539</v>
      </c>
      <c r="E51" s="6">
        <v>0</v>
      </c>
    </row>
    <row r="52" spans="1:5" ht="15" x14ac:dyDescent="0.25">
      <c r="A52" s="5" t="s">
        <v>52</v>
      </c>
      <c r="B52" s="6">
        <v>1512378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111810</v>
      </c>
      <c r="C53" s="6">
        <v>15050</v>
      </c>
      <c r="D53" s="6">
        <v>15050</v>
      </c>
      <c r="E53" s="6">
        <v>0</v>
      </c>
    </row>
    <row r="54" spans="1:5" ht="15" x14ac:dyDescent="0.25">
      <c r="A54" s="5" t="s">
        <v>54</v>
      </c>
      <c r="B54" s="6">
        <v>1778345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4858509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395666</v>
      </c>
      <c r="C56" s="6">
        <v>104392</v>
      </c>
      <c r="D56" s="6">
        <v>103279</v>
      </c>
      <c r="E56" s="6">
        <v>1113</v>
      </c>
    </row>
    <row r="57" spans="1:5" ht="15" x14ac:dyDescent="0.25">
      <c r="A57" s="5" t="s">
        <v>57</v>
      </c>
      <c r="B57" s="6">
        <v>183524</v>
      </c>
      <c r="C57" s="6">
        <v>74817</v>
      </c>
      <c r="D57" s="6">
        <v>0</v>
      </c>
      <c r="E57" s="6">
        <v>74817</v>
      </c>
    </row>
    <row r="58" spans="1:5" ht="15" x14ac:dyDescent="0.25">
      <c r="A58" s="5" t="s">
        <v>58</v>
      </c>
      <c r="B58" s="6">
        <v>29292</v>
      </c>
      <c r="C58" s="6">
        <v>13372</v>
      </c>
      <c r="D58" s="6" t="s">
        <v>8</v>
      </c>
      <c r="E58" s="6">
        <v>13372</v>
      </c>
    </row>
    <row r="59" spans="1:5" ht="15" x14ac:dyDescent="0.25">
      <c r="A59" s="5" t="s">
        <v>59</v>
      </c>
      <c r="B59" s="6">
        <v>1967535</v>
      </c>
      <c r="C59" s="6">
        <v>745728</v>
      </c>
      <c r="D59" s="6">
        <v>745728</v>
      </c>
      <c r="E59" s="6">
        <v>0</v>
      </c>
    </row>
    <row r="60" spans="1:5" ht="15" x14ac:dyDescent="0.25">
      <c r="A60" s="5" t="s">
        <v>60</v>
      </c>
      <c r="B60" s="6">
        <v>1967745</v>
      </c>
      <c r="C60" s="6">
        <v>696889</v>
      </c>
      <c r="D60" s="6">
        <v>676724</v>
      </c>
      <c r="E60" s="6">
        <v>20165</v>
      </c>
    </row>
    <row r="61" spans="1:5" ht="15" x14ac:dyDescent="0.25">
      <c r="A61" s="5" t="s">
        <v>61</v>
      </c>
      <c r="B61" s="6">
        <v>561326</v>
      </c>
      <c r="C61" s="6">
        <v>190901</v>
      </c>
      <c r="D61" s="6">
        <v>190901</v>
      </c>
      <c r="E61" s="6">
        <v>0</v>
      </c>
    </row>
    <row r="62" spans="1:5" ht="15" x14ac:dyDescent="0.25">
      <c r="A62" s="5" t="s">
        <v>62</v>
      </c>
      <c r="B62" s="6">
        <v>1402364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78333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92066205</v>
      </c>
      <c r="C64" s="8">
        <f>SUM(C8:C63)</f>
        <v>22870835</v>
      </c>
      <c r="D64" s="8">
        <f>SUM(D8:D63)</f>
        <v>18059450</v>
      </c>
      <c r="E64" s="8">
        <f>SUM(E8:E63)</f>
        <v>4811385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February 28, 2025 9:05 AM&amp;R&amp;"-,Regular"&amp;7Page : &amp;"-,Regular"&amp;7&amp;P&amp;"-,Regular"&amp;7 of &amp;"-,Regular"&amp;7&amp;N</oddFooter>
    <evenFooter>&amp;L&amp;"-,Regular"&amp;7Created On: Friday, February 28, 2025 9:05 AM&amp;R&amp;"-,Regular"&amp;7Page : &amp;"-,Regular"&amp;7&amp;P&amp;"-,Regular"&amp;7 of &amp;"-,Regular"&amp;7&amp;N</evenFooter>
    <firstFooter>&amp;L&amp;"-,Regular"&amp;7Created On: Friday, February 28, 2025 9:05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4326-3102-4DE8-B88A-BEEF4C3D79BE}">
  <sheetPr>
    <pageSetUpPr fitToPage="1"/>
  </sheetPr>
  <dimension ref="A1:E89"/>
  <sheetViews>
    <sheetView workbookViewId="0">
      <pane ySplit="7" topLeftCell="A57" activePane="bottomLeft" state="frozenSplit"/>
      <selection activeCell="D58" sqref="D58"/>
      <selection pane="bottomLeft" activeCell="D58" sqref="D58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192</v>
      </c>
      <c r="B2" s="2"/>
      <c r="C2" s="2"/>
      <c r="D2" s="2"/>
      <c r="E2" s="2"/>
    </row>
    <row r="3" spans="1:5" ht="15" x14ac:dyDescent="0.25">
      <c r="A3" s="2" t="s">
        <v>189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1229510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244466</v>
      </c>
      <c r="C9" s="6">
        <v>71801</v>
      </c>
      <c r="D9" s="6">
        <v>71801</v>
      </c>
      <c r="E9" s="6">
        <v>0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2170947</v>
      </c>
      <c r="C11" s="6">
        <v>642992</v>
      </c>
      <c r="D11" s="6">
        <v>125231</v>
      </c>
      <c r="E11" s="6">
        <v>517761</v>
      </c>
    </row>
    <row r="12" spans="1:5" ht="15" x14ac:dyDescent="0.25">
      <c r="A12" s="5" t="s">
        <v>12</v>
      </c>
      <c r="B12" s="6">
        <v>798227</v>
      </c>
      <c r="C12" s="6">
        <v>252807</v>
      </c>
      <c r="D12" s="6">
        <v>244939</v>
      </c>
      <c r="E12" s="6">
        <v>7868</v>
      </c>
    </row>
    <row r="13" spans="1:5" ht="15" x14ac:dyDescent="0.25">
      <c r="A13" s="5" t="s">
        <v>13</v>
      </c>
      <c r="B13" s="6">
        <v>14631091</v>
      </c>
      <c r="C13" s="6">
        <v>5001119</v>
      </c>
      <c r="D13" s="6">
        <v>4972957</v>
      </c>
      <c r="E13" s="6">
        <v>28162</v>
      </c>
    </row>
    <row r="14" spans="1:5" ht="15" x14ac:dyDescent="0.25">
      <c r="A14" s="5" t="s">
        <v>14</v>
      </c>
      <c r="B14" s="6">
        <v>1371187</v>
      </c>
      <c r="C14" s="6">
        <v>475127</v>
      </c>
      <c r="D14" s="6">
        <v>464224</v>
      </c>
      <c r="E14" s="6">
        <v>10903</v>
      </c>
    </row>
    <row r="15" spans="1:5" ht="15" x14ac:dyDescent="0.25">
      <c r="A15" s="5" t="s">
        <v>15</v>
      </c>
      <c r="B15" s="6">
        <v>1113309</v>
      </c>
      <c r="C15" s="6">
        <v>349916</v>
      </c>
      <c r="D15" s="6">
        <v>320507</v>
      </c>
      <c r="E15" s="6">
        <v>29409</v>
      </c>
    </row>
    <row r="16" spans="1:5" ht="15" x14ac:dyDescent="0.25">
      <c r="A16" s="5" t="s">
        <v>16</v>
      </c>
      <c r="B16" s="6">
        <v>273659</v>
      </c>
      <c r="C16" s="6">
        <v>89738</v>
      </c>
      <c r="D16" s="6">
        <v>13120</v>
      </c>
      <c r="E16" s="6">
        <v>76618</v>
      </c>
    </row>
    <row r="17" spans="1:5" ht="15" x14ac:dyDescent="0.25">
      <c r="A17" s="5" t="s">
        <v>17</v>
      </c>
      <c r="B17" s="6">
        <v>280392</v>
      </c>
      <c r="C17" s="6">
        <v>129018</v>
      </c>
      <c r="D17" s="6">
        <v>85107</v>
      </c>
      <c r="E17" s="6">
        <v>43911</v>
      </c>
    </row>
    <row r="18" spans="1:5" ht="15" x14ac:dyDescent="0.25">
      <c r="A18" s="5" t="s">
        <v>18</v>
      </c>
      <c r="B18" s="6">
        <v>4851622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2252053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44701</v>
      </c>
      <c r="C20" s="6">
        <v>6301</v>
      </c>
      <c r="D20" s="6" t="s">
        <v>8</v>
      </c>
      <c r="E20" s="6">
        <v>6301</v>
      </c>
    </row>
    <row r="21" spans="1:5" ht="15" x14ac:dyDescent="0.25">
      <c r="A21" s="5" t="s">
        <v>21</v>
      </c>
      <c r="B21" s="6">
        <v>477891</v>
      </c>
      <c r="C21" s="6">
        <v>180524</v>
      </c>
      <c r="D21" s="6">
        <v>28928</v>
      </c>
      <c r="E21" s="6">
        <v>151596</v>
      </c>
    </row>
    <row r="22" spans="1:5" ht="15" x14ac:dyDescent="0.25">
      <c r="A22" s="5" t="s">
        <v>22</v>
      </c>
      <c r="B22" s="6">
        <v>366802</v>
      </c>
      <c r="C22" s="6">
        <v>99604</v>
      </c>
      <c r="D22" s="6">
        <v>99604</v>
      </c>
      <c r="E22" s="6">
        <v>0</v>
      </c>
    </row>
    <row r="23" spans="1:5" ht="15" x14ac:dyDescent="0.25">
      <c r="A23" s="5" t="s">
        <v>23</v>
      </c>
      <c r="B23" s="6">
        <v>3250996</v>
      </c>
      <c r="C23" s="6">
        <v>944736</v>
      </c>
      <c r="D23" s="6">
        <v>860175</v>
      </c>
      <c r="E23" s="6">
        <v>84561</v>
      </c>
    </row>
    <row r="24" spans="1:5" ht="15" x14ac:dyDescent="0.25">
      <c r="A24" s="5" t="s">
        <v>24</v>
      </c>
      <c r="B24" s="6">
        <v>1883795</v>
      </c>
      <c r="C24" s="6">
        <v>572448</v>
      </c>
      <c r="D24" s="6">
        <v>572448</v>
      </c>
      <c r="E24" s="6">
        <v>0</v>
      </c>
    </row>
    <row r="25" spans="1:5" ht="15" x14ac:dyDescent="0.25">
      <c r="A25" s="5" t="s">
        <v>25</v>
      </c>
      <c r="B25" s="6">
        <v>629725</v>
      </c>
      <c r="C25" s="6">
        <v>192067</v>
      </c>
      <c r="D25" s="6">
        <v>180101</v>
      </c>
      <c r="E25" s="6">
        <v>11966</v>
      </c>
    </row>
    <row r="26" spans="1:5" ht="15" x14ac:dyDescent="0.25">
      <c r="A26" s="5" t="s">
        <v>26</v>
      </c>
      <c r="B26" s="6">
        <v>404821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1465811</v>
      </c>
      <c r="C27" s="6">
        <v>558936</v>
      </c>
      <c r="D27" s="6">
        <v>558936</v>
      </c>
      <c r="E27" s="6">
        <v>0</v>
      </c>
    </row>
    <row r="28" spans="1:5" ht="15" x14ac:dyDescent="0.25">
      <c r="A28" s="5" t="s">
        <v>28</v>
      </c>
      <c r="B28" s="6">
        <v>2102449</v>
      </c>
      <c r="C28" s="6">
        <v>952271</v>
      </c>
      <c r="D28" s="6">
        <v>695445</v>
      </c>
      <c r="E28" s="6">
        <v>256826</v>
      </c>
    </row>
    <row r="29" spans="1:5" ht="15" x14ac:dyDescent="0.25">
      <c r="A29" s="5" t="s">
        <v>29</v>
      </c>
      <c r="B29" s="6">
        <v>400927</v>
      </c>
      <c r="C29" s="6">
        <v>114003</v>
      </c>
      <c r="D29" s="6">
        <v>90236</v>
      </c>
      <c r="E29" s="6">
        <v>23767</v>
      </c>
    </row>
    <row r="30" spans="1:5" ht="15" x14ac:dyDescent="0.25">
      <c r="A30" s="5" t="s">
        <v>30</v>
      </c>
      <c r="B30" s="6">
        <v>1549990</v>
      </c>
      <c r="C30" s="6">
        <v>447167</v>
      </c>
      <c r="D30" s="6">
        <v>447167</v>
      </c>
      <c r="E30" s="6">
        <v>0</v>
      </c>
    </row>
    <row r="31" spans="1:5" ht="15" x14ac:dyDescent="0.25">
      <c r="A31" s="5" t="s">
        <v>31</v>
      </c>
      <c r="B31" s="6">
        <v>2137060</v>
      </c>
      <c r="C31" s="6">
        <v>437366</v>
      </c>
      <c r="D31" s="6">
        <v>0</v>
      </c>
      <c r="E31" s="6">
        <v>437366</v>
      </c>
    </row>
    <row r="32" spans="1:5" ht="15" x14ac:dyDescent="0.25">
      <c r="A32" s="5" t="s">
        <v>32</v>
      </c>
      <c r="B32" s="6">
        <v>2766037</v>
      </c>
      <c r="C32" s="6">
        <v>942448</v>
      </c>
      <c r="D32" s="6">
        <v>877855</v>
      </c>
      <c r="E32" s="6">
        <v>64593</v>
      </c>
    </row>
    <row r="33" spans="1:5" ht="15" x14ac:dyDescent="0.25">
      <c r="A33" s="5" t="s">
        <v>33</v>
      </c>
      <c r="B33" s="6">
        <v>1354920</v>
      </c>
      <c r="C33" s="6">
        <v>305400</v>
      </c>
      <c r="D33" s="6">
        <v>305400</v>
      </c>
      <c r="E33" s="6">
        <v>0</v>
      </c>
    </row>
    <row r="34" spans="1:5" ht="15" x14ac:dyDescent="0.25">
      <c r="A34" s="5" t="s">
        <v>34</v>
      </c>
      <c r="B34" s="6">
        <v>756337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1383781</v>
      </c>
      <c r="C35" s="6">
        <v>334986</v>
      </c>
      <c r="D35" s="6">
        <v>334986</v>
      </c>
      <c r="E35" s="6">
        <v>0</v>
      </c>
    </row>
    <row r="36" spans="1:5" ht="15" x14ac:dyDescent="0.25">
      <c r="A36" s="5" t="s">
        <v>36</v>
      </c>
      <c r="B36" s="6">
        <v>241450</v>
      </c>
      <c r="C36" s="6">
        <v>88589</v>
      </c>
      <c r="D36" s="6">
        <v>88589</v>
      </c>
      <c r="E36" s="6">
        <v>0</v>
      </c>
    </row>
    <row r="37" spans="1:5" ht="15" x14ac:dyDescent="0.25">
      <c r="A37" s="5" t="s">
        <v>37</v>
      </c>
      <c r="B37" s="6">
        <v>15901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366946</v>
      </c>
      <c r="C38" s="6">
        <v>78665</v>
      </c>
      <c r="D38" s="6">
        <v>76818</v>
      </c>
      <c r="E38" s="6">
        <v>1847</v>
      </c>
    </row>
    <row r="39" spans="1:5" ht="15" x14ac:dyDescent="0.25">
      <c r="A39" s="5" t="s">
        <v>39</v>
      </c>
      <c r="B39" s="6">
        <v>807707</v>
      </c>
      <c r="C39" s="6">
        <v>360266</v>
      </c>
      <c r="D39" s="6">
        <v>360266</v>
      </c>
      <c r="E39" s="6">
        <v>0</v>
      </c>
    </row>
    <row r="40" spans="1:5" ht="15" x14ac:dyDescent="0.25">
      <c r="A40" s="5" t="s">
        <v>40</v>
      </c>
      <c r="B40" s="6">
        <v>181000</v>
      </c>
      <c r="C40" s="6">
        <v>60968</v>
      </c>
      <c r="D40" s="6">
        <v>60413</v>
      </c>
      <c r="E40" s="6">
        <v>555</v>
      </c>
    </row>
    <row r="41" spans="1:5" ht="15" x14ac:dyDescent="0.25">
      <c r="A41" s="5" t="s">
        <v>41</v>
      </c>
      <c r="B41" s="6">
        <v>1971478</v>
      </c>
      <c r="C41" s="6">
        <v>695826</v>
      </c>
      <c r="D41" s="6">
        <v>695826</v>
      </c>
      <c r="E41" s="6">
        <v>0</v>
      </c>
    </row>
    <row r="42" spans="1:5" ht="15" x14ac:dyDescent="0.25">
      <c r="A42" s="5" t="s">
        <v>42</v>
      </c>
      <c r="B42" s="6">
        <v>882433</v>
      </c>
      <c r="C42" s="6">
        <v>279543</v>
      </c>
      <c r="D42" s="6">
        <v>279543</v>
      </c>
      <c r="E42" s="6">
        <v>0</v>
      </c>
    </row>
    <row r="43" spans="1:5" ht="15" x14ac:dyDescent="0.25">
      <c r="A43" s="5" t="s">
        <v>43</v>
      </c>
      <c r="B43" s="6">
        <v>7513044</v>
      </c>
      <c r="C43" s="6">
        <v>2396312</v>
      </c>
      <c r="D43" s="6">
        <v>395261</v>
      </c>
      <c r="E43" s="6">
        <v>2001051</v>
      </c>
    </row>
    <row r="44" spans="1:5" ht="15" x14ac:dyDescent="0.25">
      <c r="A44" s="5" t="s">
        <v>44</v>
      </c>
      <c r="B44" s="6">
        <v>2983003</v>
      </c>
      <c r="C44" s="6">
        <v>333119</v>
      </c>
      <c r="D44" s="6">
        <v>333119</v>
      </c>
      <c r="E44" s="6">
        <v>0</v>
      </c>
    </row>
    <row r="45" spans="1:5" ht="15" x14ac:dyDescent="0.25">
      <c r="A45" s="5" t="s">
        <v>45</v>
      </c>
      <c r="B45" s="6">
        <v>114828</v>
      </c>
      <c r="C45" s="6">
        <v>29072</v>
      </c>
      <c r="D45" s="6">
        <v>27686</v>
      </c>
      <c r="E45" s="6">
        <v>1386</v>
      </c>
    </row>
    <row r="46" spans="1:5" ht="15" x14ac:dyDescent="0.25">
      <c r="A46" s="5" t="s">
        <v>46</v>
      </c>
      <c r="B46" s="6">
        <v>3300125</v>
      </c>
      <c r="C46" s="6">
        <v>799624</v>
      </c>
      <c r="D46" s="6">
        <v>799391</v>
      </c>
      <c r="E46" s="6">
        <v>233</v>
      </c>
    </row>
    <row r="47" spans="1:5" ht="15" x14ac:dyDescent="0.25">
      <c r="A47" s="5" t="s">
        <v>47</v>
      </c>
      <c r="B47" s="6">
        <v>983354</v>
      </c>
      <c r="C47" s="6">
        <v>256023</v>
      </c>
      <c r="D47" s="6">
        <v>256023</v>
      </c>
      <c r="E47" s="6">
        <v>0</v>
      </c>
    </row>
    <row r="48" spans="1:5" ht="15" x14ac:dyDescent="0.25">
      <c r="A48" s="5" t="s">
        <v>48</v>
      </c>
      <c r="B48" s="6">
        <v>1320683</v>
      </c>
      <c r="C48" s="6">
        <v>697769</v>
      </c>
      <c r="D48" s="6">
        <v>587225</v>
      </c>
      <c r="E48" s="6">
        <v>110544</v>
      </c>
    </row>
    <row r="49" spans="1:5" ht="15" x14ac:dyDescent="0.25">
      <c r="A49" s="5" t="s">
        <v>49</v>
      </c>
      <c r="B49" s="6">
        <v>3280394</v>
      </c>
      <c r="C49" s="6">
        <v>995388</v>
      </c>
      <c r="D49" s="6">
        <v>937955</v>
      </c>
      <c r="E49" s="6">
        <v>57433</v>
      </c>
    </row>
    <row r="50" spans="1:5" ht="15" x14ac:dyDescent="0.25">
      <c r="A50" s="5" t="s">
        <v>50</v>
      </c>
      <c r="B50" s="6">
        <v>1511257</v>
      </c>
      <c r="C50" s="6">
        <v>698086</v>
      </c>
      <c r="D50" s="6" t="s">
        <v>8</v>
      </c>
      <c r="E50" s="6">
        <v>698086</v>
      </c>
    </row>
    <row r="51" spans="1:5" ht="15" x14ac:dyDescent="0.25">
      <c r="A51" s="5" t="s">
        <v>51</v>
      </c>
      <c r="B51" s="6">
        <v>342385</v>
      </c>
      <c r="C51" s="6">
        <v>84170</v>
      </c>
      <c r="D51" s="6">
        <v>84170</v>
      </c>
      <c r="E51" s="6">
        <v>0</v>
      </c>
    </row>
    <row r="52" spans="1:5" ht="15" x14ac:dyDescent="0.25">
      <c r="A52" s="5" t="s">
        <v>52</v>
      </c>
      <c r="B52" s="6">
        <v>1508342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113899</v>
      </c>
      <c r="C53" s="6">
        <v>17520</v>
      </c>
      <c r="D53" s="6">
        <v>17520</v>
      </c>
      <c r="E53" s="6">
        <v>0</v>
      </c>
    </row>
    <row r="54" spans="1:5" ht="15" x14ac:dyDescent="0.25">
      <c r="A54" s="5" t="s">
        <v>54</v>
      </c>
      <c r="B54" s="6">
        <v>1744892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4617346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380811</v>
      </c>
      <c r="C56" s="6">
        <v>100521</v>
      </c>
      <c r="D56" s="6">
        <v>99475</v>
      </c>
      <c r="E56" s="6">
        <v>1046</v>
      </c>
    </row>
    <row r="57" spans="1:5" ht="15" x14ac:dyDescent="0.25">
      <c r="A57" s="5" t="s">
        <v>57</v>
      </c>
      <c r="B57" s="6">
        <v>181986</v>
      </c>
      <c r="C57" s="6">
        <v>73880</v>
      </c>
      <c r="D57" s="6">
        <v>0</v>
      </c>
      <c r="E57" s="6">
        <v>73880</v>
      </c>
    </row>
    <row r="58" spans="1:5" ht="15" x14ac:dyDescent="0.25">
      <c r="A58" s="5" t="s">
        <v>58</v>
      </c>
      <c r="B58" s="6">
        <v>28703</v>
      </c>
      <c r="C58" s="6">
        <v>13040</v>
      </c>
      <c r="D58" s="6" t="s">
        <v>8</v>
      </c>
      <c r="E58" s="6">
        <v>13040</v>
      </c>
    </row>
    <row r="59" spans="1:5" ht="15" x14ac:dyDescent="0.25">
      <c r="A59" s="5" t="s">
        <v>59</v>
      </c>
      <c r="B59" s="6">
        <v>1938454</v>
      </c>
      <c r="C59" s="6">
        <v>731491</v>
      </c>
      <c r="D59" s="6">
        <v>731491</v>
      </c>
      <c r="E59" s="6">
        <v>0</v>
      </c>
    </row>
    <row r="60" spans="1:5" ht="15" x14ac:dyDescent="0.25">
      <c r="A60" s="5" t="s">
        <v>60</v>
      </c>
      <c r="B60" s="6">
        <v>1952636</v>
      </c>
      <c r="C60" s="6">
        <v>687540</v>
      </c>
      <c r="D60" s="6">
        <v>667057</v>
      </c>
      <c r="E60" s="6">
        <v>20483</v>
      </c>
    </row>
    <row r="61" spans="1:5" ht="15" x14ac:dyDescent="0.25">
      <c r="A61" s="5" t="s">
        <v>61</v>
      </c>
      <c r="B61" s="6">
        <v>548404</v>
      </c>
      <c r="C61" s="6">
        <v>184724</v>
      </c>
      <c r="D61" s="6">
        <v>184724</v>
      </c>
      <c r="E61" s="6">
        <v>0</v>
      </c>
    </row>
    <row r="62" spans="1:5" ht="15" x14ac:dyDescent="0.25">
      <c r="A62" s="5" t="s">
        <v>62</v>
      </c>
      <c r="B62" s="6">
        <v>1381983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77657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90517353</v>
      </c>
      <c r="C64" s="8">
        <f>SUM(C8:C63)</f>
        <v>22762911</v>
      </c>
      <c r="D64" s="8">
        <f>SUM(D8:D63)</f>
        <v>18031719</v>
      </c>
      <c r="E64" s="8">
        <f>SUM(E8:E63)</f>
        <v>4731192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February 28, 2025 9:05 AM&amp;R&amp;"-,Regular"&amp;7Page : &amp;"-,Regular"&amp;7&amp;P&amp;"-,Regular"&amp;7 of &amp;"-,Regular"&amp;7&amp;N</oddFooter>
    <evenFooter>&amp;L&amp;"-,Regular"&amp;7Created On: Friday, February 28, 2025 9:05 AM&amp;R&amp;"-,Regular"&amp;7Page : &amp;"-,Regular"&amp;7&amp;P&amp;"-,Regular"&amp;7 of &amp;"-,Regular"&amp;7&amp;N</evenFooter>
    <firstFooter>&amp;L&amp;"-,Regular"&amp;7Created On: Friday, February 28, 2025 9:05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A45D-DA7C-4247-8504-B482D231D51D}">
  <sheetPr>
    <pageSetUpPr fitToPage="1"/>
  </sheetPr>
  <dimension ref="A1:J64"/>
  <sheetViews>
    <sheetView workbookViewId="0">
      <pane ySplit="7" topLeftCell="A8" activePane="bottomLeft" state="frozenSplit"/>
      <selection activeCell="F65" sqref="F65"/>
      <selection pane="bottomLeft" sqref="A1:XFD6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9" width="9.140625" style="1"/>
    <col min="10" max="10" width="69" style="1" customWidth="1"/>
    <col min="11" max="16384" width="9.140625" style="1"/>
  </cols>
  <sheetData>
    <row r="1" spans="1:10" ht="15" x14ac:dyDescent="0.25">
      <c r="A1" s="2" t="s">
        <v>0</v>
      </c>
      <c r="B1" s="2"/>
      <c r="C1" s="2"/>
      <c r="D1" s="2"/>
      <c r="E1" s="2"/>
    </row>
    <row r="2" spans="1:10" ht="15" x14ac:dyDescent="0.25">
      <c r="A2" s="2" t="s">
        <v>215</v>
      </c>
      <c r="B2" s="2"/>
      <c r="C2" s="2"/>
      <c r="D2" s="2"/>
      <c r="E2" s="2"/>
    </row>
    <row r="3" spans="1:10" ht="15" x14ac:dyDescent="0.25">
      <c r="A3" s="2" t="s">
        <v>214</v>
      </c>
      <c r="B3" s="2"/>
      <c r="C3" s="2"/>
      <c r="D3" s="2"/>
      <c r="E3" s="2"/>
    </row>
    <row r="4" spans="1:10" ht="15" x14ac:dyDescent="0.25">
      <c r="A4" s="2" t="s">
        <v>1</v>
      </c>
      <c r="B4" s="2"/>
      <c r="C4" s="2"/>
      <c r="D4" s="2"/>
      <c r="E4" s="2"/>
    </row>
    <row r="5" spans="1:10" ht="15" x14ac:dyDescent="0.25">
      <c r="A5" s="3"/>
      <c r="B5" s="3"/>
      <c r="C5" s="3"/>
      <c r="D5" s="3"/>
      <c r="E5" s="3"/>
    </row>
    <row r="6" spans="1:10" ht="15" x14ac:dyDescent="0.25">
      <c r="A6" s="3"/>
      <c r="B6" s="3"/>
      <c r="C6" s="3"/>
      <c r="D6" s="3"/>
      <c r="E6" s="3"/>
    </row>
    <row r="7" spans="1:10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12" t="s">
        <v>213</v>
      </c>
      <c r="G7" s="12" t="s">
        <v>212</v>
      </c>
      <c r="H7" s="12" t="s">
        <v>211</v>
      </c>
      <c r="I7" s="12" t="s">
        <v>210</v>
      </c>
      <c r="J7" s="12" t="s">
        <v>209</v>
      </c>
    </row>
    <row r="8" spans="1:10" ht="15" x14ac:dyDescent="0.25">
      <c r="A8" s="5" t="s">
        <v>7</v>
      </c>
      <c r="B8" s="6">
        <v>1207862</v>
      </c>
      <c r="C8" s="6" t="s">
        <v>8</v>
      </c>
      <c r="D8" s="6" t="s">
        <v>8</v>
      </c>
      <c r="E8" s="6" t="s">
        <v>8</v>
      </c>
      <c r="F8" s="1">
        <v>2025</v>
      </c>
      <c r="G8" s="1">
        <v>8</v>
      </c>
      <c r="H8" s="1">
        <v>2024</v>
      </c>
      <c r="I8" s="1">
        <v>1</v>
      </c>
    </row>
    <row r="9" spans="1:10" ht="15" x14ac:dyDescent="0.25">
      <c r="A9" s="5" t="s">
        <v>9</v>
      </c>
      <c r="B9" s="6">
        <v>244467</v>
      </c>
      <c r="C9" s="6">
        <v>72051</v>
      </c>
      <c r="D9" s="6">
        <v>72051</v>
      </c>
      <c r="E9" s="6">
        <v>0</v>
      </c>
      <c r="F9" s="1">
        <v>2025</v>
      </c>
      <c r="G9" s="1">
        <v>8</v>
      </c>
      <c r="H9" s="1">
        <v>2024</v>
      </c>
      <c r="I9" s="1">
        <v>1</v>
      </c>
      <c r="J9" s="9" t="s">
        <v>208</v>
      </c>
    </row>
    <row r="10" spans="1:10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  <c r="F10" s="1">
        <v>2025</v>
      </c>
      <c r="G10" s="1">
        <v>8</v>
      </c>
      <c r="H10" s="1">
        <v>2024</v>
      </c>
      <c r="I10" s="1">
        <v>1</v>
      </c>
    </row>
    <row r="11" spans="1:10" ht="15" x14ac:dyDescent="0.25">
      <c r="A11" s="5" t="s">
        <v>11</v>
      </c>
      <c r="B11" s="6">
        <v>2164982</v>
      </c>
      <c r="C11" s="6">
        <v>643527</v>
      </c>
      <c r="D11" s="6">
        <v>125078</v>
      </c>
      <c r="E11" s="6">
        <v>518449</v>
      </c>
      <c r="F11" s="1">
        <v>2025</v>
      </c>
      <c r="G11" s="1">
        <v>8</v>
      </c>
      <c r="H11" s="1">
        <v>2024</v>
      </c>
      <c r="I11" s="1">
        <v>1</v>
      </c>
    </row>
    <row r="12" spans="1:10" ht="15" x14ac:dyDescent="0.25">
      <c r="A12" s="5" t="s">
        <v>12</v>
      </c>
      <c r="B12" s="6">
        <v>803964</v>
      </c>
      <c r="C12" s="6">
        <v>254579</v>
      </c>
      <c r="D12" s="6">
        <v>246668</v>
      </c>
      <c r="E12" s="6">
        <v>7911</v>
      </c>
      <c r="F12" s="1">
        <v>2025</v>
      </c>
      <c r="G12" s="1">
        <v>8</v>
      </c>
      <c r="H12" s="1">
        <v>2024</v>
      </c>
      <c r="I12" s="1">
        <v>1</v>
      </c>
    </row>
    <row r="13" spans="1:10" ht="15" x14ac:dyDescent="0.25">
      <c r="A13" s="5" t="s">
        <v>13</v>
      </c>
      <c r="B13" s="6">
        <v>14853288</v>
      </c>
      <c r="C13" s="6">
        <v>5092036</v>
      </c>
      <c r="D13" s="6">
        <v>5064570</v>
      </c>
      <c r="E13" s="6">
        <v>27466</v>
      </c>
      <c r="F13" s="1">
        <v>2025</v>
      </c>
      <c r="G13" s="1">
        <v>8</v>
      </c>
      <c r="H13" s="1">
        <v>2024</v>
      </c>
      <c r="I13" s="1">
        <v>1</v>
      </c>
    </row>
    <row r="14" spans="1:10" ht="15" x14ac:dyDescent="0.25">
      <c r="A14" s="5" t="s">
        <v>14</v>
      </c>
      <c r="B14" s="6">
        <v>1313588</v>
      </c>
      <c r="C14" s="6">
        <v>440963</v>
      </c>
      <c r="D14" s="6">
        <v>433801</v>
      </c>
      <c r="E14" s="6">
        <v>7162</v>
      </c>
      <c r="F14" s="1">
        <v>2025</v>
      </c>
      <c r="G14" s="1">
        <v>8</v>
      </c>
      <c r="H14" s="1">
        <v>2024</v>
      </c>
      <c r="I14" s="1">
        <v>1</v>
      </c>
    </row>
    <row r="15" spans="1:10" ht="15" x14ac:dyDescent="0.25">
      <c r="A15" s="5" t="s">
        <v>15</v>
      </c>
      <c r="B15" s="6">
        <v>1124599</v>
      </c>
      <c r="C15" s="6">
        <v>347054</v>
      </c>
      <c r="D15" s="6">
        <v>317795</v>
      </c>
      <c r="E15" s="6">
        <v>29259</v>
      </c>
      <c r="F15" s="1">
        <v>2025</v>
      </c>
      <c r="G15" s="1">
        <v>8</v>
      </c>
      <c r="H15" s="1">
        <v>2024</v>
      </c>
      <c r="I15" s="1">
        <v>1</v>
      </c>
    </row>
    <row r="16" spans="1:10" ht="15" x14ac:dyDescent="0.25">
      <c r="A16" s="5" t="s">
        <v>16</v>
      </c>
      <c r="B16" s="6">
        <v>264518</v>
      </c>
      <c r="C16" s="6">
        <v>84528</v>
      </c>
      <c r="D16" s="6">
        <v>12447</v>
      </c>
      <c r="E16" s="6">
        <v>72081</v>
      </c>
      <c r="F16" s="1">
        <v>2025</v>
      </c>
      <c r="G16" s="1">
        <v>8</v>
      </c>
      <c r="H16" s="1">
        <v>2024</v>
      </c>
      <c r="I16" s="1">
        <v>1</v>
      </c>
    </row>
    <row r="17" spans="1:10" ht="15" x14ac:dyDescent="0.25">
      <c r="A17" s="5" t="s">
        <v>17</v>
      </c>
      <c r="B17" s="6">
        <v>279564</v>
      </c>
      <c r="C17" s="6">
        <v>129303</v>
      </c>
      <c r="D17" s="6">
        <v>84693</v>
      </c>
      <c r="E17" s="6">
        <v>44610</v>
      </c>
      <c r="F17" s="1">
        <v>2025</v>
      </c>
      <c r="G17" s="1">
        <v>8</v>
      </c>
      <c r="H17" s="1">
        <v>2024</v>
      </c>
      <c r="I17" s="1">
        <v>1</v>
      </c>
    </row>
    <row r="18" spans="1:10" ht="15" x14ac:dyDescent="0.25">
      <c r="A18" s="5" t="s">
        <v>18</v>
      </c>
      <c r="B18" s="6">
        <v>4884883</v>
      </c>
      <c r="C18" s="6" t="s">
        <v>8</v>
      </c>
      <c r="D18" s="6" t="s">
        <v>8</v>
      </c>
      <c r="E18" s="6" t="s">
        <v>8</v>
      </c>
      <c r="F18" s="1">
        <v>2025</v>
      </c>
      <c r="G18" s="1">
        <v>8</v>
      </c>
      <c r="H18" s="1">
        <v>2024</v>
      </c>
      <c r="I18" s="1">
        <v>1</v>
      </c>
    </row>
    <row r="19" spans="1:10" ht="15" x14ac:dyDescent="0.25">
      <c r="A19" s="5" t="s">
        <v>19</v>
      </c>
      <c r="B19" s="6">
        <v>2188558</v>
      </c>
      <c r="C19" s="6" t="s">
        <v>8</v>
      </c>
      <c r="D19" s="6" t="s">
        <v>8</v>
      </c>
      <c r="E19" s="6" t="s">
        <v>8</v>
      </c>
      <c r="F19" s="1">
        <v>2025</v>
      </c>
      <c r="G19" s="1">
        <v>8</v>
      </c>
      <c r="H19" s="1">
        <v>2024</v>
      </c>
      <c r="I19" s="1">
        <v>1</v>
      </c>
    </row>
    <row r="20" spans="1:10" ht="15" x14ac:dyDescent="0.25">
      <c r="A20" s="5" t="s">
        <v>20</v>
      </c>
      <c r="B20" s="6">
        <v>43582</v>
      </c>
      <c r="C20" s="6">
        <v>6101</v>
      </c>
      <c r="D20" s="6" t="s">
        <v>8</v>
      </c>
      <c r="E20" s="6">
        <v>6101</v>
      </c>
      <c r="F20" s="1">
        <v>2025</v>
      </c>
      <c r="G20" s="1">
        <v>8</v>
      </c>
      <c r="H20" s="1">
        <v>2024</v>
      </c>
      <c r="I20" s="1">
        <v>1</v>
      </c>
    </row>
    <row r="21" spans="1:10" ht="15" x14ac:dyDescent="0.25">
      <c r="A21" s="5" t="s">
        <v>21</v>
      </c>
      <c r="B21" s="6">
        <v>480854</v>
      </c>
      <c r="C21" s="6">
        <v>181191</v>
      </c>
      <c r="D21" s="6">
        <v>28699</v>
      </c>
      <c r="E21" s="6">
        <v>152492</v>
      </c>
      <c r="F21" s="1">
        <v>2025</v>
      </c>
      <c r="G21" s="1">
        <v>8</v>
      </c>
      <c r="H21" s="1">
        <v>2024</v>
      </c>
      <c r="I21" s="1">
        <v>1</v>
      </c>
    </row>
    <row r="22" spans="1:10" ht="15" x14ac:dyDescent="0.25">
      <c r="A22" s="5" t="s">
        <v>22</v>
      </c>
      <c r="B22" s="6">
        <v>369501</v>
      </c>
      <c r="C22" s="6">
        <v>100790</v>
      </c>
      <c r="D22" s="6">
        <v>100790</v>
      </c>
      <c r="E22" s="6">
        <v>0</v>
      </c>
      <c r="F22" s="1">
        <v>2025</v>
      </c>
      <c r="G22" s="1">
        <v>8</v>
      </c>
      <c r="H22" s="1">
        <v>2024</v>
      </c>
      <c r="I22" s="1">
        <v>1</v>
      </c>
      <c r="J22" s="9" t="s">
        <v>207</v>
      </c>
    </row>
    <row r="23" spans="1:10" ht="15" x14ac:dyDescent="0.25">
      <c r="A23" s="5" t="s">
        <v>23</v>
      </c>
      <c r="B23" s="6">
        <v>3258568</v>
      </c>
      <c r="C23" s="6">
        <v>944263</v>
      </c>
      <c r="D23" s="6">
        <v>858901</v>
      </c>
      <c r="E23" s="6">
        <v>85362</v>
      </c>
      <c r="F23" s="1">
        <v>2025</v>
      </c>
      <c r="G23" s="1">
        <v>8</v>
      </c>
      <c r="H23" s="1">
        <v>2024</v>
      </c>
      <c r="I23" s="1">
        <v>1</v>
      </c>
    </row>
    <row r="24" spans="1:10" ht="15" x14ac:dyDescent="0.25">
      <c r="A24" s="5" t="s">
        <v>24</v>
      </c>
      <c r="B24" s="6">
        <v>1913502</v>
      </c>
      <c r="C24" s="6">
        <v>582622</v>
      </c>
      <c r="D24" s="6">
        <v>582622</v>
      </c>
      <c r="E24" s="6">
        <v>0</v>
      </c>
      <c r="F24" s="1">
        <v>2025</v>
      </c>
      <c r="G24" s="1">
        <v>8</v>
      </c>
      <c r="H24" s="1">
        <v>2024</v>
      </c>
      <c r="I24" s="1">
        <v>1</v>
      </c>
      <c r="J24" s="9" t="s">
        <v>206</v>
      </c>
    </row>
    <row r="25" spans="1:10" ht="15" x14ac:dyDescent="0.25">
      <c r="A25" s="5" t="s">
        <v>25</v>
      </c>
      <c r="B25" s="6">
        <v>630640</v>
      </c>
      <c r="C25" s="6">
        <v>192572</v>
      </c>
      <c r="D25" s="6">
        <v>182605</v>
      </c>
      <c r="E25" s="6">
        <v>9967</v>
      </c>
      <c r="F25" s="1">
        <v>2025</v>
      </c>
      <c r="G25" s="1">
        <v>8</v>
      </c>
      <c r="H25" s="1">
        <v>2024</v>
      </c>
      <c r="I25" s="1">
        <v>1</v>
      </c>
    </row>
    <row r="26" spans="1:10" ht="15" x14ac:dyDescent="0.25">
      <c r="A26" s="5" t="s">
        <v>26</v>
      </c>
      <c r="B26" s="6">
        <v>401626</v>
      </c>
      <c r="C26" s="6" t="s">
        <v>8</v>
      </c>
      <c r="D26" s="6" t="s">
        <v>8</v>
      </c>
      <c r="E26" s="6" t="s">
        <v>8</v>
      </c>
      <c r="F26" s="1">
        <v>2025</v>
      </c>
      <c r="G26" s="1">
        <v>8</v>
      </c>
      <c r="H26" s="1">
        <v>2024</v>
      </c>
      <c r="I26" s="1">
        <v>1</v>
      </c>
    </row>
    <row r="27" spans="1:10" ht="15" x14ac:dyDescent="0.25">
      <c r="A27" s="5" t="s">
        <v>27</v>
      </c>
      <c r="B27" s="6">
        <v>1466870</v>
      </c>
      <c r="C27" s="6">
        <v>555131</v>
      </c>
      <c r="D27" s="6">
        <v>555131</v>
      </c>
      <c r="E27" s="6">
        <v>0</v>
      </c>
      <c r="F27" s="1">
        <v>2025</v>
      </c>
      <c r="G27" s="1">
        <v>8</v>
      </c>
      <c r="H27" s="1">
        <v>2024</v>
      </c>
      <c r="I27" s="1">
        <v>1</v>
      </c>
    </row>
    <row r="28" spans="1:10" ht="15" x14ac:dyDescent="0.25">
      <c r="A28" s="5" t="s">
        <v>28</v>
      </c>
      <c r="B28" s="6">
        <v>2074344</v>
      </c>
      <c r="C28" s="6">
        <v>937615</v>
      </c>
      <c r="D28" s="6">
        <v>681365</v>
      </c>
      <c r="E28" s="6">
        <v>256250</v>
      </c>
      <c r="F28" s="1">
        <v>2025</v>
      </c>
      <c r="G28" s="1">
        <v>8</v>
      </c>
      <c r="H28" s="1">
        <v>2024</v>
      </c>
      <c r="I28" s="1">
        <v>1</v>
      </c>
      <c r="J28" s="9" t="s">
        <v>205</v>
      </c>
    </row>
    <row r="29" spans="1:10" ht="15" x14ac:dyDescent="0.25">
      <c r="A29" s="5" t="s">
        <v>29</v>
      </c>
      <c r="B29" s="6">
        <v>400152</v>
      </c>
      <c r="C29" s="6">
        <v>113926</v>
      </c>
      <c r="D29" s="6">
        <v>90045</v>
      </c>
      <c r="E29" s="6">
        <v>23881</v>
      </c>
      <c r="F29" s="1">
        <v>2025</v>
      </c>
      <c r="G29" s="1">
        <v>8</v>
      </c>
      <c r="H29" s="1">
        <v>2024</v>
      </c>
      <c r="I29" s="1">
        <v>1</v>
      </c>
      <c r="J29" s="9" t="s">
        <v>204</v>
      </c>
    </row>
    <row r="30" spans="1:10" ht="15" x14ac:dyDescent="0.25">
      <c r="A30" s="5" t="s">
        <v>30</v>
      </c>
      <c r="B30" s="6">
        <v>1523065</v>
      </c>
      <c r="C30" s="6">
        <v>436433</v>
      </c>
      <c r="D30" s="6">
        <v>436433</v>
      </c>
      <c r="E30" s="6">
        <v>0</v>
      </c>
      <c r="F30" s="1">
        <v>2025</v>
      </c>
      <c r="G30" s="1">
        <v>8</v>
      </c>
      <c r="H30" s="1">
        <v>2024</v>
      </c>
      <c r="I30" s="1">
        <v>1</v>
      </c>
    </row>
    <row r="31" spans="1:10" ht="15" x14ac:dyDescent="0.25">
      <c r="A31" s="5" t="s">
        <v>31</v>
      </c>
      <c r="B31" s="6">
        <v>2093040</v>
      </c>
      <c r="C31" s="6">
        <v>429309</v>
      </c>
      <c r="D31" s="6">
        <v>0</v>
      </c>
      <c r="E31" s="6">
        <v>429309</v>
      </c>
      <c r="F31" s="1">
        <v>2025</v>
      </c>
      <c r="G31" s="1">
        <v>8</v>
      </c>
      <c r="H31" s="1">
        <v>2024</v>
      </c>
      <c r="I31" s="1">
        <v>1</v>
      </c>
    </row>
    <row r="32" spans="1:10" ht="15" x14ac:dyDescent="0.25">
      <c r="A32" s="5" t="s">
        <v>32</v>
      </c>
      <c r="B32" s="6">
        <v>2712823</v>
      </c>
      <c r="C32" s="6">
        <v>913095</v>
      </c>
      <c r="D32" s="6">
        <v>849647</v>
      </c>
      <c r="E32" s="6">
        <v>63448</v>
      </c>
      <c r="F32" s="1">
        <v>2025</v>
      </c>
      <c r="G32" s="1">
        <v>8</v>
      </c>
      <c r="H32" s="1">
        <v>2024</v>
      </c>
      <c r="I32" s="1">
        <v>1</v>
      </c>
      <c r="J32" s="9" t="s">
        <v>203</v>
      </c>
    </row>
    <row r="33" spans="1:10" ht="15" x14ac:dyDescent="0.25">
      <c r="A33" s="5" t="s">
        <v>33</v>
      </c>
      <c r="B33" s="6">
        <v>1345043</v>
      </c>
      <c r="C33" s="6">
        <v>299463</v>
      </c>
      <c r="D33" s="6">
        <v>299463</v>
      </c>
      <c r="E33" s="6">
        <v>0</v>
      </c>
      <c r="F33" s="1">
        <v>2025</v>
      </c>
      <c r="G33" s="1">
        <v>8</v>
      </c>
      <c r="H33" s="1">
        <v>2024</v>
      </c>
      <c r="I33" s="1">
        <v>1</v>
      </c>
    </row>
    <row r="34" spans="1:10" ht="15" x14ac:dyDescent="0.25">
      <c r="A34" s="5" t="s">
        <v>34</v>
      </c>
      <c r="B34" s="6">
        <v>754585</v>
      </c>
      <c r="C34" s="6" t="s">
        <v>8</v>
      </c>
      <c r="D34" s="6" t="s">
        <v>8</v>
      </c>
      <c r="E34" s="6" t="s">
        <v>8</v>
      </c>
      <c r="F34" s="1">
        <v>2025</v>
      </c>
      <c r="G34" s="1">
        <v>8</v>
      </c>
      <c r="H34" s="1">
        <v>2024</v>
      </c>
      <c r="I34" s="1">
        <v>1</v>
      </c>
    </row>
    <row r="35" spans="1:10" ht="15" x14ac:dyDescent="0.25">
      <c r="A35" s="5" t="s">
        <v>35</v>
      </c>
      <c r="B35" s="6">
        <v>1348559</v>
      </c>
      <c r="C35" s="6">
        <v>330846</v>
      </c>
      <c r="D35" s="6">
        <v>330846</v>
      </c>
      <c r="E35" s="6">
        <v>0</v>
      </c>
      <c r="F35" s="1">
        <v>2025</v>
      </c>
      <c r="G35" s="1">
        <v>8</v>
      </c>
      <c r="H35" s="1">
        <v>2024</v>
      </c>
      <c r="I35" s="1">
        <v>1</v>
      </c>
      <c r="J35" s="9" t="s">
        <v>202</v>
      </c>
    </row>
    <row r="36" spans="1:10" ht="15" x14ac:dyDescent="0.25">
      <c r="A36" s="5" t="s">
        <v>36</v>
      </c>
      <c r="B36" s="6">
        <v>238827</v>
      </c>
      <c r="C36" s="6">
        <v>87143</v>
      </c>
      <c r="D36" s="6">
        <v>87143</v>
      </c>
      <c r="E36" s="6">
        <v>0</v>
      </c>
      <c r="F36" s="1">
        <v>2025</v>
      </c>
      <c r="G36" s="1">
        <v>8</v>
      </c>
      <c r="H36" s="1">
        <v>2024</v>
      </c>
      <c r="I36" s="1">
        <v>1</v>
      </c>
      <c r="J36" s="9" t="s">
        <v>201</v>
      </c>
    </row>
    <row r="37" spans="1:10" ht="15" x14ac:dyDescent="0.25">
      <c r="A37" s="5" t="s">
        <v>37</v>
      </c>
      <c r="B37" s="6">
        <v>19988</v>
      </c>
      <c r="C37" s="6" t="s">
        <v>8</v>
      </c>
      <c r="D37" s="6" t="s">
        <v>8</v>
      </c>
      <c r="E37" s="6" t="s">
        <v>8</v>
      </c>
      <c r="F37" s="1">
        <v>2025</v>
      </c>
      <c r="G37" s="1">
        <v>8</v>
      </c>
      <c r="H37" s="1">
        <v>2024</v>
      </c>
      <c r="I37" s="1">
        <v>1</v>
      </c>
    </row>
    <row r="38" spans="1:10" ht="15" x14ac:dyDescent="0.25">
      <c r="A38" s="5" t="s">
        <v>38</v>
      </c>
      <c r="B38" s="6">
        <v>362745</v>
      </c>
      <c r="C38" s="6">
        <v>77265</v>
      </c>
      <c r="D38" s="6">
        <v>75483</v>
      </c>
      <c r="E38" s="6">
        <v>1782</v>
      </c>
      <c r="F38" s="1">
        <v>2025</v>
      </c>
      <c r="G38" s="1">
        <v>8</v>
      </c>
      <c r="H38" s="1">
        <v>2024</v>
      </c>
      <c r="I38" s="1">
        <v>1</v>
      </c>
    </row>
    <row r="39" spans="1:10" ht="15" x14ac:dyDescent="0.25">
      <c r="A39" s="5" t="s">
        <v>39</v>
      </c>
      <c r="B39" s="6">
        <v>806875</v>
      </c>
      <c r="C39" s="6">
        <v>359860</v>
      </c>
      <c r="D39" s="6">
        <v>359860</v>
      </c>
      <c r="E39" s="6">
        <v>0</v>
      </c>
      <c r="F39" s="1">
        <v>2025</v>
      </c>
      <c r="G39" s="1">
        <v>8</v>
      </c>
      <c r="H39" s="1">
        <v>2024</v>
      </c>
      <c r="I39" s="1">
        <v>1</v>
      </c>
    </row>
    <row r="40" spans="1:10" ht="15" x14ac:dyDescent="0.25">
      <c r="A40" s="5" t="s">
        <v>40</v>
      </c>
      <c r="B40" s="6">
        <v>182394</v>
      </c>
      <c r="C40" s="6">
        <v>61713</v>
      </c>
      <c r="D40" s="6">
        <v>61165</v>
      </c>
      <c r="E40" s="6">
        <v>548</v>
      </c>
      <c r="F40" s="1">
        <v>2025</v>
      </c>
      <c r="G40" s="1">
        <v>8</v>
      </c>
      <c r="H40" s="1">
        <v>2024</v>
      </c>
      <c r="I40" s="1">
        <v>1</v>
      </c>
      <c r="J40" s="9" t="s">
        <v>200</v>
      </c>
    </row>
    <row r="41" spans="1:10" ht="15" x14ac:dyDescent="0.25">
      <c r="A41" s="5" t="s">
        <v>41</v>
      </c>
      <c r="B41" s="6">
        <v>1943355</v>
      </c>
      <c r="C41" s="6">
        <v>682060</v>
      </c>
      <c r="D41" s="6">
        <v>682060</v>
      </c>
      <c r="E41" s="6">
        <v>0</v>
      </c>
      <c r="F41" s="1">
        <v>2025</v>
      </c>
      <c r="G41" s="1">
        <v>8</v>
      </c>
      <c r="H41" s="1">
        <v>2024</v>
      </c>
      <c r="I41" s="1">
        <v>1</v>
      </c>
    </row>
    <row r="42" spans="1:10" ht="15" x14ac:dyDescent="0.25">
      <c r="A42" s="5" t="s">
        <v>42</v>
      </c>
      <c r="B42" s="6">
        <v>890429</v>
      </c>
      <c r="C42" s="6">
        <v>285922</v>
      </c>
      <c r="D42" s="6">
        <v>285922</v>
      </c>
      <c r="E42" s="6">
        <v>0</v>
      </c>
      <c r="F42" s="1">
        <v>2025</v>
      </c>
      <c r="G42" s="1">
        <v>8</v>
      </c>
      <c r="H42" s="1">
        <v>2024</v>
      </c>
      <c r="I42" s="1">
        <v>1</v>
      </c>
    </row>
    <row r="43" spans="1:10" ht="15" x14ac:dyDescent="0.25">
      <c r="A43" s="5" t="s">
        <v>43</v>
      </c>
      <c r="B43" s="6">
        <v>7447225</v>
      </c>
      <c r="C43" s="6">
        <v>2357643</v>
      </c>
      <c r="D43" s="6">
        <v>387912</v>
      </c>
      <c r="E43" s="6">
        <v>1969731</v>
      </c>
      <c r="F43" s="1">
        <v>2025</v>
      </c>
      <c r="G43" s="1">
        <v>8</v>
      </c>
      <c r="H43" s="1">
        <v>2024</v>
      </c>
      <c r="I43" s="1">
        <v>1</v>
      </c>
    </row>
    <row r="44" spans="1:10" ht="15" x14ac:dyDescent="0.25">
      <c r="A44" s="5" t="s">
        <v>44</v>
      </c>
      <c r="B44" s="6">
        <v>3004993</v>
      </c>
      <c r="C44" s="6">
        <v>362763</v>
      </c>
      <c r="D44" s="6">
        <v>362763</v>
      </c>
      <c r="E44" s="6">
        <v>0</v>
      </c>
      <c r="F44" s="1">
        <v>2025</v>
      </c>
      <c r="G44" s="1">
        <v>8</v>
      </c>
      <c r="H44" s="1">
        <v>2024</v>
      </c>
      <c r="I44" s="1">
        <v>1</v>
      </c>
      <c r="J44" s="9" t="s">
        <v>199</v>
      </c>
    </row>
    <row r="45" spans="1:10" ht="15" x14ac:dyDescent="0.25">
      <c r="A45" s="5" t="s">
        <v>45</v>
      </c>
      <c r="B45" s="6">
        <v>112881</v>
      </c>
      <c r="C45" s="6">
        <v>28122</v>
      </c>
      <c r="D45" s="6">
        <v>26779</v>
      </c>
      <c r="E45" s="6">
        <v>1343</v>
      </c>
      <c r="F45" s="1">
        <v>2025</v>
      </c>
      <c r="G45" s="1">
        <v>8</v>
      </c>
      <c r="H45" s="1">
        <v>2024</v>
      </c>
      <c r="I45" s="1">
        <v>1</v>
      </c>
    </row>
    <row r="46" spans="1:10" ht="15" x14ac:dyDescent="0.25">
      <c r="A46" s="5" t="s">
        <v>46</v>
      </c>
      <c r="B46" s="6">
        <v>3278085</v>
      </c>
      <c r="C46" s="6">
        <v>788653</v>
      </c>
      <c r="D46" s="6">
        <v>788418</v>
      </c>
      <c r="E46" s="6">
        <v>235</v>
      </c>
      <c r="F46" s="1">
        <v>2025</v>
      </c>
      <c r="G46" s="1">
        <v>8</v>
      </c>
      <c r="H46" s="1">
        <v>2024</v>
      </c>
      <c r="I46" s="1">
        <v>1</v>
      </c>
    </row>
    <row r="47" spans="1:10" ht="15" x14ac:dyDescent="0.25">
      <c r="A47" s="5" t="s">
        <v>47</v>
      </c>
      <c r="B47" s="6">
        <v>1020076</v>
      </c>
      <c r="C47" s="6">
        <v>257411</v>
      </c>
      <c r="D47" s="6">
        <v>257411</v>
      </c>
      <c r="E47" s="6">
        <v>0</v>
      </c>
      <c r="F47" s="1">
        <v>2025</v>
      </c>
      <c r="G47" s="1">
        <v>8</v>
      </c>
      <c r="H47" s="1">
        <v>2024</v>
      </c>
      <c r="I47" s="1">
        <v>1</v>
      </c>
      <c r="J47" s="9" t="s">
        <v>198</v>
      </c>
    </row>
    <row r="48" spans="1:10" ht="15" x14ac:dyDescent="0.25">
      <c r="A48" s="5" t="s">
        <v>48</v>
      </c>
      <c r="B48" s="6">
        <v>1318232</v>
      </c>
      <c r="C48" s="6">
        <v>689499</v>
      </c>
      <c r="D48" s="6">
        <v>580030</v>
      </c>
      <c r="E48" s="6">
        <v>109469</v>
      </c>
      <c r="F48" s="1">
        <v>2025</v>
      </c>
      <c r="G48" s="1">
        <v>8</v>
      </c>
      <c r="H48" s="1">
        <v>2024</v>
      </c>
      <c r="I48" s="1">
        <v>1</v>
      </c>
    </row>
    <row r="49" spans="1:10" ht="15" x14ac:dyDescent="0.25">
      <c r="A49" s="5" t="s">
        <v>49</v>
      </c>
      <c r="B49" s="6">
        <v>3238259</v>
      </c>
      <c r="C49" s="6">
        <v>973471</v>
      </c>
      <c r="D49" s="6">
        <v>916889</v>
      </c>
      <c r="E49" s="6">
        <v>56582</v>
      </c>
      <c r="F49" s="1">
        <v>2025</v>
      </c>
      <c r="G49" s="1">
        <v>8</v>
      </c>
      <c r="H49" s="1">
        <v>2024</v>
      </c>
      <c r="I49" s="1">
        <v>1</v>
      </c>
      <c r="J49" s="9" t="s">
        <v>197</v>
      </c>
    </row>
    <row r="50" spans="1:10" ht="15" x14ac:dyDescent="0.25">
      <c r="A50" s="5" t="s">
        <v>50</v>
      </c>
      <c r="B50" s="6">
        <v>1372455</v>
      </c>
      <c r="C50" s="6">
        <v>682874</v>
      </c>
      <c r="D50" s="6" t="s">
        <v>8</v>
      </c>
      <c r="E50" s="6">
        <v>682874</v>
      </c>
      <c r="F50" s="1">
        <v>2025</v>
      </c>
      <c r="G50" s="1">
        <v>8</v>
      </c>
      <c r="H50" s="1">
        <v>2024</v>
      </c>
      <c r="I50" s="1">
        <v>1</v>
      </c>
    </row>
    <row r="51" spans="1:10" ht="15" x14ac:dyDescent="0.25">
      <c r="A51" s="5" t="s">
        <v>51</v>
      </c>
      <c r="B51" s="6">
        <v>338247</v>
      </c>
      <c r="C51" s="6">
        <v>81599</v>
      </c>
      <c r="D51" s="6">
        <v>81599</v>
      </c>
      <c r="E51" s="6">
        <v>0</v>
      </c>
      <c r="F51" s="1">
        <v>2025</v>
      </c>
      <c r="G51" s="1">
        <v>8</v>
      </c>
      <c r="H51" s="1">
        <v>2024</v>
      </c>
      <c r="I51" s="1">
        <v>1</v>
      </c>
    </row>
    <row r="52" spans="1:10" ht="15" x14ac:dyDescent="0.25">
      <c r="A52" s="5" t="s">
        <v>52</v>
      </c>
      <c r="B52" s="6">
        <v>1497909</v>
      </c>
      <c r="C52" s="6" t="s">
        <v>8</v>
      </c>
      <c r="D52" s="6" t="s">
        <v>8</v>
      </c>
      <c r="E52" s="6" t="s">
        <v>8</v>
      </c>
      <c r="F52" s="1">
        <v>2025</v>
      </c>
      <c r="G52" s="1">
        <v>8</v>
      </c>
      <c r="H52" s="1">
        <v>2024</v>
      </c>
      <c r="I52" s="1">
        <v>1</v>
      </c>
    </row>
    <row r="53" spans="1:10" ht="15" x14ac:dyDescent="0.25">
      <c r="A53" s="5" t="s">
        <v>53</v>
      </c>
      <c r="B53" s="6">
        <v>116221</v>
      </c>
      <c r="C53" s="6">
        <v>19811</v>
      </c>
      <c r="D53" s="6">
        <v>19811</v>
      </c>
      <c r="E53" s="6">
        <v>0</v>
      </c>
      <c r="F53" s="1">
        <v>2025</v>
      </c>
      <c r="G53" s="1">
        <v>8</v>
      </c>
      <c r="H53" s="1">
        <v>2024</v>
      </c>
      <c r="I53" s="1">
        <v>1</v>
      </c>
      <c r="J53" s="9" t="s">
        <v>196</v>
      </c>
    </row>
    <row r="54" spans="1:10" ht="15" x14ac:dyDescent="0.25">
      <c r="A54" s="5" t="s">
        <v>54</v>
      </c>
      <c r="B54" s="6">
        <v>1723350</v>
      </c>
      <c r="C54" s="6" t="s">
        <v>8</v>
      </c>
      <c r="D54" s="6" t="s">
        <v>8</v>
      </c>
      <c r="E54" s="6" t="s">
        <v>8</v>
      </c>
      <c r="F54" s="1">
        <v>2025</v>
      </c>
      <c r="G54" s="1">
        <v>8</v>
      </c>
      <c r="H54" s="1">
        <v>2024</v>
      </c>
      <c r="I54" s="1">
        <v>1</v>
      </c>
    </row>
    <row r="55" spans="1:10" ht="15" x14ac:dyDescent="0.25">
      <c r="A55" s="5" t="s">
        <v>55</v>
      </c>
      <c r="B55" s="6">
        <v>4421173</v>
      </c>
      <c r="C55" s="6" t="s">
        <v>8</v>
      </c>
      <c r="D55" s="6" t="s">
        <v>8</v>
      </c>
      <c r="E55" s="6" t="s">
        <v>8</v>
      </c>
      <c r="F55" s="1">
        <v>2025</v>
      </c>
      <c r="G55" s="1">
        <v>8</v>
      </c>
      <c r="H55" s="1">
        <v>2024</v>
      </c>
      <c r="I55" s="1">
        <v>1</v>
      </c>
    </row>
    <row r="56" spans="1:10" ht="15" x14ac:dyDescent="0.25">
      <c r="A56" s="5" t="s">
        <v>56</v>
      </c>
      <c r="B56" s="6">
        <v>369197</v>
      </c>
      <c r="C56" s="6">
        <v>95076</v>
      </c>
      <c r="D56" s="6">
        <v>93938</v>
      </c>
      <c r="E56" s="6">
        <v>1138</v>
      </c>
      <c r="F56" s="1">
        <v>2025</v>
      </c>
      <c r="G56" s="1">
        <v>8</v>
      </c>
      <c r="H56" s="1">
        <v>2024</v>
      </c>
      <c r="I56" s="1">
        <v>1</v>
      </c>
      <c r="J56" s="9" t="s">
        <v>195</v>
      </c>
    </row>
    <row r="57" spans="1:10" ht="15" x14ac:dyDescent="0.25">
      <c r="A57" s="5" t="s">
        <v>57</v>
      </c>
      <c r="B57" s="6">
        <v>181219</v>
      </c>
      <c r="C57" s="6">
        <v>73414</v>
      </c>
      <c r="D57" s="6">
        <v>0</v>
      </c>
      <c r="E57" s="6">
        <v>73414</v>
      </c>
      <c r="F57" s="1">
        <v>2025</v>
      </c>
      <c r="G57" s="1">
        <v>8</v>
      </c>
      <c r="H57" s="1">
        <v>2024</v>
      </c>
      <c r="I57" s="1">
        <v>1</v>
      </c>
    </row>
    <row r="58" spans="1:10" ht="15" x14ac:dyDescent="0.25">
      <c r="A58" s="5" t="s">
        <v>58</v>
      </c>
      <c r="B58" s="6">
        <v>26725</v>
      </c>
      <c r="C58" s="6">
        <v>11916</v>
      </c>
      <c r="D58" s="6" t="s">
        <v>8</v>
      </c>
      <c r="E58" s="6">
        <v>11916</v>
      </c>
      <c r="F58" s="1">
        <v>2025</v>
      </c>
      <c r="G58" s="1">
        <v>8</v>
      </c>
      <c r="H58" s="1">
        <v>2024</v>
      </c>
      <c r="I58" s="1">
        <v>1</v>
      </c>
      <c r="J58" s="9" t="s">
        <v>194</v>
      </c>
    </row>
    <row r="59" spans="1:10" ht="15" x14ac:dyDescent="0.25">
      <c r="A59" s="5" t="s">
        <v>59</v>
      </c>
      <c r="B59" s="6">
        <v>1932613</v>
      </c>
      <c r="C59" s="6">
        <v>730145</v>
      </c>
      <c r="D59" s="6">
        <v>730145</v>
      </c>
      <c r="E59" s="6">
        <v>0</v>
      </c>
      <c r="F59" s="1">
        <v>2025</v>
      </c>
      <c r="G59" s="1">
        <v>8</v>
      </c>
      <c r="H59" s="1">
        <v>2024</v>
      </c>
      <c r="I59" s="1">
        <v>1</v>
      </c>
      <c r="J59" s="9" t="s">
        <v>193</v>
      </c>
    </row>
    <row r="60" spans="1:10" ht="15" x14ac:dyDescent="0.25">
      <c r="A60" s="5" t="s">
        <v>60</v>
      </c>
      <c r="B60" s="6">
        <v>1940440</v>
      </c>
      <c r="C60" s="6">
        <v>677830</v>
      </c>
      <c r="D60" s="6">
        <v>655891</v>
      </c>
      <c r="E60" s="6">
        <v>21939</v>
      </c>
      <c r="F60" s="1">
        <v>2025</v>
      </c>
      <c r="G60" s="1">
        <v>8</v>
      </c>
      <c r="H60" s="1">
        <v>2024</v>
      </c>
      <c r="I60" s="1">
        <v>1</v>
      </c>
    </row>
    <row r="61" spans="1:10" ht="15" x14ac:dyDescent="0.25">
      <c r="A61" s="5" t="s">
        <v>61</v>
      </c>
      <c r="B61" s="6">
        <v>540364</v>
      </c>
      <c r="C61" s="6">
        <v>180251</v>
      </c>
      <c r="D61" s="6">
        <v>180251</v>
      </c>
      <c r="E61" s="6">
        <v>0</v>
      </c>
      <c r="F61" s="1">
        <v>2025</v>
      </c>
      <c r="G61" s="1">
        <v>8</v>
      </c>
      <c r="H61" s="1">
        <v>2024</v>
      </c>
      <c r="I61" s="1">
        <v>1</v>
      </c>
    </row>
    <row r="62" spans="1:10" ht="15" x14ac:dyDescent="0.25">
      <c r="A62" s="5" t="s">
        <v>62</v>
      </c>
      <c r="B62" s="6">
        <v>1393407</v>
      </c>
      <c r="C62" s="6" t="s">
        <v>8</v>
      </c>
      <c r="D62" s="6" t="s">
        <v>8</v>
      </c>
      <c r="E62" s="6" t="s">
        <v>8</v>
      </c>
      <c r="F62" s="1">
        <v>2025</v>
      </c>
      <c r="G62" s="1">
        <v>8</v>
      </c>
      <c r="H62" s="1">
        <v>2024</v>
      </c>
      <c r="I62" s="1">
        <v>1</v>
      </c>
    </row>
    <row r="63" spans="1:10" ht="15" x14ac:dyDescent="0.25">
      <c r="A63" s="5" t="s">
        <v>63</v>
      </c>
      <c r="B63" s="6">
        <v>77539</v>
      </c>
      <c r="C63" s="6" t="s">
        <v>8</v>
      </c>
      <c r="D63" s="6" t="s">
        <v>8</v>
      </c>
      <c r="E63" s="6" t="s">
        <v>8</v>
      </c>
      <c r="F63" s="1">
        <v>2025</v>
      </c>
      <c r="G63" s="1">
        <v>8</v>
      </c>
      <c r="H63" s="1">
        <v>2024</v>
      </c>
      <c r="I63" s="1">
        <v>1</v>
      </c>
    </row>
    <row r="64" spans="1:10" ht="15" x14ac:dyDescent="0.25">
      <c r="A64" s="7" t="s">
        <v>64</v>
      </c>
      <c r="B64" s="8">
        <f>SUM(B8:B63)</f>
        <v>89975996</v>
      </c>
      <c r="C64" s="8">
        <f>SUM(C8:C63)</f>
        <v>22651839</v>
      </c>
      <c r="D64" s="8">
        <f>SUM(D8:D63)</f>
        <v>17987120</v>
      </c>
      <c r="E64" s="8">
        <f>SUM(E8:E63)</f>
        <v>4664719</v>
      </c>
      <c r="F64" s="1">
        <v>2025</v>
      </c>
      <c r="G64" s="1">
        <v>8</v>
      </c>
      <c r="H64" s="1">
        <v>2024</v>
      </c>
      <c r="I64" s="1">
        <v>1</v>
      </c>
    </row>
  </sheetData>
  <conditionalFormatting sqref="A8:E64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8, 2025 7:09 AM&amp;R&amp;"-,Regular"&amp;7Page : &amp;"-,Regular"&amp;7&amp;P&amp;"-,Regular"&amp;7 of &amp;"-,Regular"&amp;7&amp;N</oddFooter>
    <evenFooter>&amp;L&amp;"-,Regular"&amp;7Created On: Friday, August 8, 2025 7:09 AM&amp;R&amp;"-,Regular"&amp;7Page : &amp;"-,Regular"&amp;7&amp;P&amp;"-,Regular"&amp;7 of &amp;"-,Regular"&amp;7&amp;N</evenFooter>
    <firstFooter>&amp;L&amp;"-,Regular"&amp;7Created On: Friday, August 8, 2025 7:09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BAAB-AD88-4E23-A666-50C9FEA3A944}">
  <sheetPr>
    <pageSetUpPr fitToPage="1"/>
  </sheetPr>
  <dimension ref="A1:J64"/>
  <sheetViews>
    <sheetView workbookViewId="0">
      <pane ySplit="7" topLeftCell="A8" activePane="bottomLeft" state="frozenSplit"/>
      <selection activeCell="F65" sqref="F65"/>
      <selection pane="bottomLeft" sqref="A1:XFD6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9" width="9.140625" style="1"/>
    <col min="10" max="10" width="69" style="1" customWidth="1"/>
    <col min="11" max="16384" width="9.140625" style="1"/>
  </cols>
  <sheetData>
    <row r="1" spans="1:10" ht="15" x14ac:dyDescent="0.25">
      <c r="A1" s="2" t="s">
        <v>0</v>
      </c>
      <c r="B1" s="2"/>
      <c r="C1" s="2"/>
      <c r="D1" s="2"/>
      <c r="E1" s="2"/>
    </row>
    <row r="2" spans="1:10" ht="15" x14ac:dyDescent="0.25">
      <c r="A2" s="2" t="s">
        <v>215</v>
      </c>
      <c r="B2" s="2"/>
      <c r="C2" s="2"/>
      <c r="D2" s="2"/>
      <c r="E2" s="2"/>
    </row>
    <row r="3" spans="1:10" ht="15" x14ac:dyDescent="0.25">
      <c r="A3" s="2" t="s">
        <v>214</v>
      </c>
      <c r="B3" s="2"/>
      <c r="C3" s="2"/>
      <c r="D3" s="2"/>
      <c r="E3" s="2"/>
    </row>
    <row r="4" spans="1:10" ht="15" x14ac:dyDescent="0.25">
      <c r="A4" s="2" t="s">
        <v>1</v>
      </c>
      <c r="B4" s="2"/>
      <c r="C4" s="2"/>
      <c r="D4" s="2"/>
      <c r="E4" s="2"/>
    </row>
    <row r="5" spans="1:10" ht="15" x14ac:dyDescent="0.25">
      <c r="A5" s="3"/>
      <c r="B5" s="3"/>
      <c r="C5" s="3"/>
      <c r="D5" s="3"/>
      <c r="E5" s="3"/>
    </row>
    <row r="6" spans="1:10" ht="15" x14ac:dyDescent="0.25">
      <c r="A6" s="3"/>
      <c r="B6" s="3"/>
      <c r="C6" s="3"/>
      <c r="D6" s="3"/>
      <c r="E6" s="3"/>
    </row>
    <row r="7" spans="1:10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12" t="s">
        <v>213</v>
      </c>
      <c r="G7" s="12" t="s">
        <v>212</v>
      </c>
      <c r="H7" s="12" t="s">
        <v>211</v>
      </c>
      <c r="I7" s="12" t="s">
        <v>210</v>
      </c>
      <c r="J7" s="12" t="s">
        <v>209</v>
      </c>
    </row>
    <row r="8" spans="1:10" ht="15" x14ac:dyDescent="0.25">
      <c r="A8" s="5" t="s">
        <v>7</v>
      </c>
      <c r="B8" s="6">
        <v>1189975</v>
      </c>
      <c r="C8" s="6" t="s">
        <v>8</v>
      </c>
      <c r="D8" s="6" t="s">
        <v>8</v>
      </c>
      <c r="E8" s="6" t="s">
        <v>8</v>
      </c>
      <c r="F8" s="1">
        <v>2025</v>
      </c>
      <c r="G8" s="1">
        <v>8</v>
      </c>
      <c r="H8" s="1">
        <v>2024</v>
      </c>
      <c r="I8" s="1">
        <v>2</v>
      </c>
    </row>
    <row r="9" spans="1:10" ht="15" x14ac:dyDescent="0.25">
      <c r="A9" s="5" t="s">
        <v>9</v>
      </c>
      <c r="B9" s="6">
        <v>243814</v>
      </c>
      <c r="C9" s="6">
        <v>72227</v>
      </c>
      <c r="D9" s="6">
        <v>72227</v>
      </c>
      <c r="E9" s="6">
        <v>0</v>
      </c>
      <c r="F9" s="1">
        <v>2025</v>
      </c>
      <c r="G9" s="1">
        <v>8</v>
      </c>
      <c r="H9" s="1">
        <v>2024</v>
      </c>
      <c r="I9" s="1">
        <v>2</v>
      </c>
      <c r="J9" s="9" t="s">
        <v>208</v>
      </c>
    </row>
    <row r="10" spans="1:10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  <c r="F10" s="1">
        <v>2025</v>
      </c>
      <c r="G10" s="1">
        <v>8</v>
      </c>
      <c r="H10" s="1">
        <v>2024</v>
      </c>
      <c r="I10" s="1">
        <v>2</v>
      </c>
    </row>
    <row r="11" spans="1:10" ht="15" x14ac:dyDescent="0.25">
      <c r="A11" s="5" t="s">
        <v>11</v>
      </c>
      <c r="B11" s="6">
        <v>2176720</v>
      </c>
      <c r="C11" s="6">
        <v>647912</v>
      </c>
      <c r="D11" s="6">
        <v>126349</v>
      </c>
      <c r="E11" s="6">
        <v>521563</v>
      </c>
      <c r="F11" s="1">
        <v>2025</v>
      </c>
      <c r="G11" s="1">
        <v>8</v>
      </c>
      <c r="H11" s="1">
        <v>2024</v>
      </c>
      <c r="I11" s="1">
        <v>2</v>
      </c>
    </row>
    <row r="12" spans="1:10" ht="15" x14ac:dyDescent="0.25">
      <c r="A12" s="5" t="s">
        <v>12</v>
      </c>
      <c r="B12" s="6">
        <v>804243</v>
      </c>
      <c r="C12" s="6">
        <v>250534</v>
      </c>
      <c r="D12" s="6">
        <v>242890</v>
      </c>
      <c r="E12" s="6">
        <v>7644</v>
      </c>
      <c r="F12" s="1">
        <v>2025</v>
      </c>
      <c r="G12" s="1">
        <v>8</v>
      </c>
      <c r="H12" s="1">
        <v>2024</v>
      </c>
      <c r="I12" s="1">
        <v>2</v>
      </c>
    </row>
    <row r="13" spans="1:10" ht="15" x14ac:dyDescent="0.25">
      <c r="A13" s="5" t="s">
        <v>13</v>
      </c>
      <c r="B13" s="6">
        <v>14801219</v>
      </c>
      <c r="C13" s="6">
        <v>5076953</v>
      </c>
      <c r="D13" s="6">
        <v>5049975</v>
      </c>
      <c r="E13" s="6">
        <v>26978</v>
      </c>
      <c r="F13" s="1">
        <v>2025</v>
      </c>
      <c r="G13" s="1">
        <v>8</v>
      </c>
      <c r="H13" s="1">
        <v>2024</v>
      </c>
      <c r="I13" s="1">
        <v>2</v>
      </c>
    </row>
    <row r="14" spans="1:10" ht="15" x14ac:dyDescent="0.25">
      <c r="A14" s="5" t="s">
        <v>14</v>
      </c>
      <c r="B14" s="6">
        <v>1264461</v>
      </c>
      <c r="C14" s="6">
        <v>417171</v>
      </c>
      <c r="D14" s="6">
        <v>410101</v>
      </c>
      <c r="E14" s="6">
        <v>7070</v>
      </c>
      <c r="F14" s="1">
        <v>2025</v>
      </c>
      <c r="G14" s="1">
        <v>8</v>
      </c>
      <c r="H14" s="1">
        <v>2024</v>
      </c>
      <c r="I14" s="1">
        <v>2</v>
      </c>
    </row>
    <row r="15" spans="1:10" ht="15" x14ac:dyDescent="0.25">
      <c r="A15" s="5" t="s">
        <v>15</v>
      </c>
      <c r="B15" s="6">
        <v>1118029</v>
      </c>
      <c r="C15" s="6">
        <v>342379</v>
      </c>
      <c r="D15" s="6">
        <v>313486</v>
      </c>
      <c r="E15" s="6">
        <v>28893</v>
      </c>
      <c r="F15" s="1">
        <v>2025</v>
      </c>
      <c r="G15" s="1">
        <v>8</v>
      </c>
      <c r="H15" s="1">
        <v>2024</v>
      </c>
      <c r="I15" s="1">
        <v>2</v>
      </c>
    </row>
    <row r="16" spans="1:10" ht="15" x14ac:dyDescent="0.25">
      <c r="A16" s="5" t="s">
        <v>16</v>
      </c>
      <c r="B16" s="6">
        <v>261445</v>
      </c>
      <c r="C16" s="6">
        <v>82419</v>
      </c>
      <c r="D16" s="6">
        <v>12288</v>
      </c>
      <c r="E16" s="6">
        <v>70131</v>
      </c>
      <c r="F16" s="1">
        <v>2025</v>
      </c>
      <c r="G16" s="1">
        <v>8</v>
      </c>
      <c r="H16" s="1">
        <v>2024</v>
      </c>
      <c r="I16" s="1">
        <v>2</v>
      </c>
    </row>
    <row r="17" spans="1:10" ht="15" x14ac:dyDescent="0.25">
      <c r="A17" s="5" t="s">
        <v>17</v>
      </c>
      <c r="B17" s="6">
        <v>272997</v>
      </c>
      <c r="C17" s="6">
        <v>128707</v>
      </c>
      <c r="D17" s="6">
        <v>84411</v>
      </c>
      <c r="E17" s="6">
        <v>44296</v>
      </c>
      <c r="F17" s="1">
        <v>2025</v>
      </c>
      <c r="G17" s="1">
        <v>8</v>
      </c>
      <c r="H17" s="1">
        <v>2024</v>
      </c>
      <c r="I17" s="1">
        <v>2</v>
      </c>
    </row>
    <row r="18" spans="1:10" ht="15" x14ac:dyDescent="0.25">
      <c r="A18" s="5" t="s">
        <v>18</v>
      </c>
      <c r="B18" s="6">
        <v>4854202</v>
      </c>
      <c r="C18" s="6" t="s">
        <v>8</v>
      </c>
      <c r="D18" s="6" t="s">
        <v>8</v>
      </c>
      <c r="E18" s="6" t="s">
        <v>8</v>
      </c>
      <c r="F18" s="1">
        <v>2025</v>
      </c>
      <c r="G18" s="1">
        <v>8</v>
      </c>
      <c r="H18" s="1">
        <v>2024</v>
      </c>
      <c r="I18" s="1">
        <v>2</v>
      </c>
    </row>
    <row r="19" spans="1:10" ht="15" x14ac:dyDescent="0.25">
      <c r="A19" s="5" t="s">
        <v>19</v>
      </c>
      <c r="B19" s="6">
        <v>2132146</v>
      </c>
      <c r="C19" s="6" t="s">
        <v>8</v>
      </c>
      <c r="D19" s="6" t="s">
        <v>8</v>
      </c>
      <c r="E19" s="6" t="s">
        <v>8</v>
      </c>
      <c r="F19" s="1">
        <v>2025</v>
      </c>
      <c r="G19" s="1">
        <v>8</v>
      </c>
      <c r="H19" s="1">
        <v>2024</v>
      </c>
      <c r="I19" s="1">
        <v>2</v>
      </c>
    </row>
    <row r="20" spans="1:10" ht="15" x14ac:dyDescent="0.25">
      <c r="A20" s="5" t="s">
        <v>20</v>
      </c>
      <c r="B20" s="6">
        <v>41387</v>
      </c>
      <c r="C20" s="6">
        <v>5888</v>
      </c>
      <c r="D20" s="6" t="s">
        <v>8</v>
      </c>
      <c r="E20" s="6">
        <v>5888</v>
      </c>
      <c r="F20" s="1">
        <v>2025</v>
      </c>
      <c r="G20" s="1">
        <v>8</v>
      </c>
      <c r="H20" s="1">
        <v>2024</v>
      </c>
      <c r="I20" s="1">
        <v>2</v>
      </c>
    </row>
    <row r="21" spans="1:10" ht="15" x14ac:dyDescent="0.25">
      <c r="A21" s="5" t="s">
        <v>21</v>
      </c>
      <c r="B21" s="6">
        <v>477839</v>
      </c>
      <c r="C21" s="6">
        <v>178751</v>
      </c>
      <c r="D21" s="6">
        <v>28463</v>
      </c>
      <c r="E21" s="6">
        <v>150288</v>
      </c>
      <c r="F21" s="1">
        <v>2025</v>
      </c>
      <c r="G21" s="1">
        <v>8</v>
      </c>
      <c r="H21" s="1">
        <v>2024</v>
      </c>
      <c r="I21" s="1">
        <v>2</v>
      </c>
    </row>
    <row r="22" spans="1:10" ht="15" x14ac:dyDescent="0.25">
      <c r="A22" s="5" t="s">
        <v>22</v>
      </c>
      <c r="B22" s="6">
        <v>365314</v>
      </c>
      <c r="C22" s="6">
        <v>98454</v>
      </c>
      <c r="D22" s="6">
        <v>98454</v>
      </c>
      <c r="E22" s="6">
        <v>0</v>
      </c>
      <c r="F22" s="1">
        <v>2025</v>
      </c>
      <c r="G22" s="1">
        <v>8</v>
      </c>
      <c r="H22" s="1">
        <v>2024</v>
      </c>
      <c r="I22" s="1">
        <v>2</v>
      </c>
      <c r="J22" s="9" t="s">
        <v>207</v>
      </c>
    </row>
    <row r="23" spans="1:10" ht="15" x14ac:dyDescent="0.25">
      <c r="A23" s="5" t="s">
        <v>23</v>
      </c>
      <c r="B23" s="6">
        <v>3224201</v>
      </c>
      <c r="C23" s="6">
        <v>930062</v>
      </c>
      <c r="D23" s="6">
        <v>844120</v>
      </c>
      <c r="E23" s="6">
        <v>85942</v>
      </c>
      <c r="F23" s="1">
        <v>2025</v>
      </c>
      <c r="G23" s="1">
        <v>8</v>
      </c>
      <c r="H23" s="1">
        <v>2024</v>
      </c>
      <c r="I23" s="1">
        <v>2</v>
      </c>
    </row>
    <row r="24" spans="1:10" ht="15" x14ac:dyDescent="0.25">
      <c r="A24" s="5" t="s">
        <v>24</v>
      </c>
      <c r="B24" s="6">
        <v>1888143</v>
      </c>
      <c r="C24" s="6">
        <v>578775</v>
      </c>
      <c r="D24" s="6">
        <v>578775</v>
      </c>
      <c r="E24" s="6">
        <v>0</v>
      </c>
      <c r="F24" s="1">
        <v>2025</v>
      </c>
      <c r="G24" s="1">
        <v>8</v>
      </c>
      <c r="H24" s="1">
        <v>2024</v>
      </c>
      <c r="I24" s="1">
        <v>2</v>
      </c>
      <c r="J24" s="9" t="s">
        <v>206</v>
      </c>
    </row>
    <row r="25" spans="1:10" ht="15" x14ac:dyDescent="0.25">
      <c r="A25" s="5" t="s">
        <v>25</v>
      </c>
      <c r="B25" s="6">
        <v>629620</v>
      </c>
      <c r="C25" s="6">
        <v>191688</v>
      </c>
      <c r="D25" s="6">
        <v>183023</v>
      </c>
      <c r="E25" s="6">
        <v>8665</v>
      </c>
      <c r="F25" s="1">
        <v>2025</v>
      </c>
      <c r="G25" s="1">
        <v>8</v>
      </c>
      <c r="H25" s="1">
        <v>2024</v>
      </c>
      <c r="I25" s="1">
        <v>2</v>
      </c>
    </row>
    <row r="26" spans="1:10" ht="15" x14ac:dyDescent="0.25">
      <c r="A26" s="5" t="s">
        <v>26</v>
      </c>
      <c r="B26" s="6">
        <v>399986</v>
      </c>
      <c r="C26" s="6" t="s">
        <v>8</v>
      </c>
      <c r="D26" s="6" t="s">
        <v>8</v>
      </c>
      <c r="E26" s="6" t="s">
        <v>8</v>
      </c>
      <c r="F26" s="1">
        <v>2025</v>
      </c>
      <c r="G26" s="1">
        <v>8</v>
      </c>
      <c r="H26" s="1">
        <v>2024</v>
      </c>
      <c r="I26" s="1">
        <v>2</v>
      </c>
    </row>
    <row r="27" spans="1:10" ht="15" x14ac:dyDescent="0.25">
      <c r="A27" s="5" t="s">
        <v>27</v>
      </c>
      <c r="B27" s="6">
        <v>1471025</v>
      </c>
      <c r="C27" s="6">
        <v>551525</v>
      </c>
      <c r="D27" s="6">
        <v>551525</v>
      </c>
      <c r="E27" s="6">
        <v>0</v>
      </c>
      <c r="F27" s="1">
        <v>2025</v>
      </c>
      <c r="G27" s="1">
        <v>8</v>
      </c>
      <c r="H27" s="1">
        <v>2024</v>
      </c>
      <c r="I27" s="1">
        <v>2</v>
      </c>
    </row>
    <row r="28" spans="1:10" ht="15" x14ac:dyDescent="0.25">
      <c r="A28" s="5" t="s">
        <v>28</v>
      </c>
      <c r="B28" s="6">
        <v>2045547</v>
      </c>
      <c r="C28" s="6">
        <v>917582</v>
      </c>
      <c r="D28" s="6">
        <v>662799</v>
      </c>
      <c r="E28" s="6">
        <v>254783</v>
      </c>
      <c r="F28" s="1">
        <v>2025</v>
      </c>
      <c r="G28" s="1">
        <v>8</v>
      </c>
      <c r="H28" s="1">
        <v>2024</v>
      </c>
      <c r="I28" s="1">
        <v>2</v>
      </c>
      <c r="J28" s="9" t="s">
        <v>205</v>
      </c>
    </row>
    <row r="29" spans="1:10" ht="15" x14ac:dyDescent="0.25">
      <c r="A29" s="5" t="s">
        <v>29</v>
      </c>
      <c r="B29" s="6">
        <v>400791</v>
      </c>
      <c r="C29" s="6">
        <v>114922</v>
      </c>
      <c r="D29" s="6">
        <v>90703</v>
      </c>
      <c r="E29" s="6">
        <v>24219</v>
      </c>
      <c r="F29" s="1">
        <v>2025</v>
      </c>
      <c r="G29" s="1">
        <v>8</v>
      </c>
      <c r="H29" s="1">
        <v>2024</v>
      </c>
      <c r="I29" s="1">
        <v>2</v>
      </c>
      <c r="J29" s="9" t="s">
        <v>204</v>
      </c>
    </row>
    <row r="30" spans="1:10" ht="15" x14ac:dyDescent="0.25">
      <c r="A30" s="5" t="s">
        <v>30</v>
      </c>
      <c r="B30" s="6">
        <v>1509170</v>
      </c>
      <c r="C30" s="6">
        <v>434243</v>
      </c>
      <c r="D30" s="6">
        <v>434243</v>
      </c>
      <c r="E30" s="6">
        <v>0</v>
      </c>
      <c r="F30" s="1">
        <v>2025</v>
      </c>
      <c r="G30" s="1">
        <v>8</v>
      </c>
      <c r="H30" s="1">
        <v>2024</v>
      </c>
      <c r="I30" s="1">
        <v>2</v>
      </c>
    </row>
    <row r="31" spans="1:10" ht="15" x14ac:dyDescent="0.25">
      <c r="A31" s="5" t="s">
        <v>31</v>
      </c>
      <c r="B31" s="6">
        <v>2088012</v>
      </c>
      <c r="C31" s="6">
        <v>425151</v>
      </c>
      <c r="D31" s="6">
        <v>0</v>
      </c>
      <c r="E31" s="6">
        <v>425151</v>
      </c>
      <c r="F31" s="1">
        <v>2025</v>
      </c>
      <c r="G31" s="1">
        <v>8</v>
      </c>
      <c r="H31" s="1">
        <v>2024</v>
      </c>
      <c r="I31" s="1">
        <v>2</v>
      </c>
    </row>
    <row r="32" spans="1:10" ht="15" x14ac:dyDescent="0.25">
      <c r="A32" s="5" t="s">
        <v>32</v>
      </c>
      <c r="B32" s="6">
        <v>2652267</v>
      </c>
      <c r="C32" s="6">
        <v>883429</v>
      </c>
      <c r="D32" s="6">
        <v>821663</v>
      </c>
      <c r="E32" s="6">
        <v>61766</v>
      </c>
      <c r="F32" s="1">
        <v>2025</v>
      </c>
      <c r="G32" s="1">
        <v>8</v>
      </c>
      <c r="H32" s="1">
        <v>2024</v>
      </c>
      <c r="I32" s="1">
        <v>2</v>
      </c>
      <c r="J32" s="9" t="s">
        <v>203</v>
      </c>
    </row>
    <row r="33" spans="1:10" ht="15" x14ac:dyDescent="0.25">
      <c r="A33" s="5" t="s">
        <v>33</v>
      </c>
      <c r="B33" s="6">
        <v>1267989</v>
      </c>
      <c r="C33" s="6">
        <v>266671</v>
      </c>
      <c r="D33" s="6">
        <v>266671</v>
      </c>
      <c r="E33" s="6">
        <v>0</v>
      </c>
      <c r="F33" s="1">
        <v>2025</v>
      </c>
      <c r="G33" s="1">
        <v>8</v>
      </c>
      <c r="H33" s="1">
        <v>2024</v>
      </c>
      <c r="I33" s="1">
        <v>2</v>
      </c>
    </row>
    <row r="34" spans="1:10" ht="15" x14ac:dyDescent="0.25">
      <c r="A34" s="5" t="s">
        <v>34</v>
      </c>
      <c r="B34" s="6">
        <v>752869</v>
      </c>
      <c r="C34" s="6" t="s">
        <v>8</v>
      </c>
      <c r="D34" s="6" t="s">
        <v>8</v>
      </c>
      <c r="E34" s="6" t="s">
        <v>8</v>
      </c>
      <c r="F34" s="1">
        <v>2025</v>
      </c>
      <c r="G34" s="1">
        <v>8</v>
      </c>
      <c r="H34" s="1">
        <v>2024</v>
      </c>
      <c r="I34" s="1">
        <v>2</v>
      </c>
    </row>
    <row r="35" spans="1:10" ht="15" x14ac:dyDescent="0.25">
      <c r="A35" s="5" t="s">
        <v>35</v>
      </c>
      <c r="B35" s="6">
        <v>1325432</v>
      </c>
      <c r="C35" s="6">
        <v>331392</v>
      </c>
      <c r="D35" s="6">
        <v>331392</v>
      </c>
      <c r="E35" s="6">
        <v>0</v>
      </c>
      <c r="F35" s="1">
        <v>2025</v>
      </c>
      <c r="G35" s="1">
        <v>8</v>
      </c>
      <c r="H35" s="1">
        <v>2024</v>
      </c>
      <c r="I35" s="1">
        <v>2</v>
      </c>
      <c r="J35" s="9" t="s">
        <v>202</v>
      </c>
    </row>
    <row r="36" spans="1:10" ht="15" x14ac:dyDescent="0.25">
      <c r="A36" s="5" t="s">
        <v>36</v>
      </c>
      <c r="B36" s="6">
        <v>235885</v>
      </c>
      <c r="C36" s="6">
        <v>85454</v>
      </c>
      <c r="D36" s="6">
        <v>85454</v>
      </c>
      <c r="E36" s="6">
        <v>0</v>
      </c>
      <c r="F36" s="1">
        <v>2025</v>
      </c>
      <c r="G36" s="1">
        <v>8</v>
      </c>
      <c r="H36" s="1">
        <v>2024</v>
      </c>
      <c r="I36" s="1">
        <v>2</v>
      </c>
      <c r="J36" s="9" t="s">
        <v>201</v>
      </c>
    </row>
    <row r="37" spans="1:10" ht="15" x14ac:dyDescent="0.25">
      <c r="A37" s="5" t="s">
        <v>37</v>
      </c>
      <c r="B37" s="6">
        <v>20206</v>
      </c>
      <c r="C37" s="6" t="s">
        <v>8</v>
      </c>
      <c r="D37" s="6" t="s">
        <v>8</v>
      </c>
      <c r="E37" s="6" t="s">
        <v>8</v>
      </c>
      <c r="F37" s="1">
        <v>2025</v>
      </c>
      <c r="G37" s="1">
        <v>8</v>
      </c>
      <c r="H37" s="1">
        <v>2024</v>
      </c>
      <c r="I37" s="1">
        <v>2</v>
      </c>
    </row>
    <row r="38" spans="1:10" ht="15" x14ac:dyDescent="0.25">
      <c r="A38" s="5" t="s">
        <v>38</v>
      </c>
      <c r="B38" s="6">
        <v>362093</v>
      </c>
      <c r="C38" s="6">
        <v>77057</v>
      </c>
      <c r="D38" s="6">
        <v>75298</v>
      </c>
      <c r="E38" s="6">
        <v>1759</v>
      </c>
      <c r="F38" s="1">
        <v>2025</v>
      </c>
      <c r="G38" s="1">
        <v>8</v>
      </c>
      <c r="H38" s="1">
        <v>2024</v>
      </c>
      <c r="I38" s="1">
        <v>2</v>
      </c>
    </row>
    <row r="39" spans="1:10" ht="15" x14ac:dyDescent="0.25">
      <c r="A39" s="5" t="s">
        <v>39</v>
      </c>
      <c r="B39" s="6">
        <v>807202</v>
      </c>
      <c r="C39" s="6">
        <v>359115</v>
      </c>
      <c r="D39" s="6">
        <v>359115</v>
      </c>
      <c r="E39" s="6">
        <v>0</v>
      </c>
      <c r="F39" s="1">
        <v>2025</v>
      </c>
      <c r="G39" s="1">
        <v>8</v>
      </c>
      <c r="H39" s="1">
        <v>2024</v>
      </c>
      <c r="I39" s="1">
        <v>2</v>
      </c>
    </row>
    <row r="40" spans="1:10" ht="15" x14ac:dyDescent="0.25">
      <c r="A40" s="5" t="s">
        <v>40</v>
      </c>
      <c r="B40" s="6">
        <v>181726</v>
      </c>
      <c r="C40" s="6">
        <v>61292</v>
      </c>
      <c r="D40" s="6">
        <v>60704</v>
      </c>
      <c r="E40" s="6">
        <v>588</v>
      </c>
      <c r="F40" s="1">
        <v>2025</v>
      </c>
      <c r="G40" s="1">
        <v>8</v>
      </c>
      <c r="H40" s="1">
        <v>2024</v>
      </c>
      <c r="I40" s="1">
        <v>2</v>
      </c>
      <c r="J40" s="9" t="s">
        <v>200</v>
      </c>
    </row>
    <row r="41" spans="1:10" ht="15" x14ac:dyDescent="0.25">
      <c r="A41" s="5" t="s">
        <v>41</v>
      </c>
      <c r="B41" s="6">
        <v>1912116</v>
      </c>
      <c r="C41" s="6">
        <v>665820</v>
      </c>
      <c r="D41" s="6">
        <v>665820</v>
      </c>
      <c r="E41" s="6">
        <v>0</v>
      </c>
      <c r="F41" s="1">
        <v>2025</v>
      </c>
      <c r="G41" s="1">
        <v>8</v>
      </c>
      <c r="H41" s="1">
        <v>2024</v>
      </c>
      <c r="I41" s="1">
        <v>2</v>
      </c>
    </row>
    <row r="42" spans="1:10" ht="15" x14ac:dyDescent="0.25">
      <c r="A42" s="5" t="s">
        <v>42</v>
      </c>
      <c r="B42" s="6">
        <v>889742</v>
      </c>
      <c r="C42" s="6">
        <v>287038</v>
      </c>
      <c r="D42" s="6">
        <v>287038</v>
      </c>
      <c r="E42" s="6">
        <v>0</v>
      </c>
      <c r="F42" s="1">
        <v>2025</v>
      </c>
      <c r="G42" s="1">
        <v>8</v>
      </c>
      <c r="H42" s="1">
        <v>2024</v>
      </c>
      <c r="I42" s="1">
        <v>2</v>
      </c>
    </row>
    <row r="43" spans="1:10" ht="15" x14ac:dyDescent="0.25">
      <c r="A43" s="5" t="s">
        <v>43</v>
      </c>
      <c r="B43" s="6">
        <v>7363711</v>
      </c>
      <c r="C43" s="6">
        <v>2319567</v>
      </c>
      <c r="D43" s="6">
        <v>378679</v>
      </c>
      <c r="E43" s="6">
        <v>1940888</v>
      </c>
      <c r="F43" s="1">
        <v>2025</v>
      </c>
      <c r="G43" s="1">
        <v>8</v>
      </c>
      <c r="H43" s="1">
        <v>2024</v>
      </c>
      <c r="I43" s="1">
        <v>2</v>
      </c>
    </row>
    <row r="44" spans="1:10" ht="15" x14ac:dyDescent="0.25">
      <c r="A44" s="5" t="s">
        <v>44</v>
      </c>
      <c r="B44" s="6">
        <v>3018529</v>
      </c>
      <c r="C44" s="6">
        <v>387478</v>
      </c>
      <c r="D44" s="6">
        <v>387478</v>
      </c>
      <c r="E44" s="6">
        <v>0</v>
      </c>
      <c r="F44" s="1">
        <v>2025</v>
      </c>
      <c r="G44" s="1">
        <v>8</v>
      </c>
      <c r="H44" s="1">
        <v>2024</v>
      </c>
      <c r="I44" s="1">
        <v>2</v>
      </c>
      <c r="J44" s="9" t="s">
        <v>199</v>
      </c>
    </row>
    <row r="45" spans="1:10" ht="15" x14ac:dyDescent="0.25">
      <c r="A45" s="5" t="s">
        <v>45</v>
      </c>
      <c r="B45" s="6">
        <v>111021</v>
      </c>
      <c r="C45" s="6">
        <v>27347</v>
      </c>
      <c r="D45" s="6">
        <v>26037</v>
      </c>
      <c r="E45" s="6">
        <v>1310</v>
      </c>
      <c r="F45" s="1">
        <v>2025</v>
      </c>
      <c r="G45" s="1">
        <v>8</v>
      </c>
      <c r="H45" s="1">
        <v>2024</v>
      </c>
      <c r="I45" s="1">
        <v>2</v>
      </c>
    </row>
    <row r="46" spans="1:10" ht="15" x14ac:dyDescent="0.25">
      <c r="A46" s="5" t="s">
        <v>46</v>
      </c>
      <c r="B46" s="6">
        <v>3251289</v>
      </c>
      <c r="C46" s="6">
        <v>778629</v>
      </c>
      <c r="D46" s="6">
        <v>778389</v>
      </c>
      <c r="E46" s="6">
        <v>240</v>
      </c>
      <c r="F46" s="1">
        <v>2025</v>
      </c>
      <c r="G46" s="1">
        <v>8</v>
      </c>
      <c r="H46" s="1">
        <v>2024</v>
      </c>
      <c r="I46" s="1">
        <v>2</v>
      </c>
    </row>
    <row r="47" spans="1:10" ht="15" x14ac:dyDescent="0.25">
      <c r="A47" s="5" t="s">
        <v>47</v>
      </c>
      <c r="B47" s="6">
        <v>1022577</v>
      </c>
      <c r="C47" s="6">
        <v>253722</v>
      </c>
      <c r="D47" s="6">
        <v>253722</v>
      </c>
      <c r="E47" s="6">
        <v>0</v>
      </c>
      <c r="F47" s="1">
        <v>2025</v>
      </c>
      <c r="G47" s="1">
        <v>8</v>
      </c>
      <c r="H47" s="1">
        <v>2024</v>
      </c>
      <c r="I47" s="1">
        <v>2</v>
      </c>
      <c r="J47" s="9" t="s">
        <v>198</v>
      </c>
    </row>
    <row r="48" spans="1:10" ht="15" x14ac:dyDescent="0.25">
      <c r="A48" s="5" t="s">
        <v>48</v>
      </c>
      <c r="B48" s="6">
        <v>1303108</v>
      </c>
      <c r="C48" s="6">
        <v>675491</v>
      </c>
      <c r="D48" s="6">
        <v>565891</v>
      </c>
      <c r="E48" s="6">
        <v>109600</v>
      </c>
      <c r="F48" s="1">
        <v>2025</v>
      </c>
      <c r="G48" s="1">
        <v>8</v>
      </c>
      <c r="H48" s="1">
        <v>2024</v>
      </c>
      <c r="I48" s="1">
        <v>2</v>
      </c>
    </row>
    <row r="49" spans="1:10" ht="15" x14ac:dyDescent="0.25">
      <c r="A49" s="5" t="s">
        <v>49</v>
      </c>
      <c r="B49" s="6">
        <v>3209763</v>
      </c>
      <c r="C49" s="6">
        <v>958959</v>
      </c>
      <c r="D49" s="6">
        <v>902996</v>
      </c>
      <c r="E49" s="6">
        <v>55963</v>
      </c>
      <c r="F49" s="1">
        <v>2025</v>
      </c>
      <c r="G49" s="1">
        <v>8</v>
      </c>
      <c r="H49" s="1">
        <v>2024</v>
      </c>
      <c r="I49" s="1">
        <v>2</v>
      </c>
      <c r="J49" s="9" t="s">
        <v>197</v>
      </c>
    </row>
    <row r="50" spans="1:10" ht="15" x14ac:dyDescent="0.25">
      <c r="A50" s="5" t="s">
        <v>50</v>
      </c>
      <c r="B50" s="6">
        <v>1458333</v>
      </c>
      <c r="C50" s="6">
        <v>669088</v>
      </c>
      <c r="D50" s="6" t="s">
        <v>8</v>
      </c>
      <c r="E50" s="6">
        <v>669088</v>
      </c>
      <c r="F50" s="1">
        <v>2025</v>
      </c>
      <c r="G50" s="1">
        <v>8</v>
      </c>
      <c r="H50" s="1">
        <v>2024</v>
      </c>
      <c r="I50" s="1">
        <v>2</v>
      </c>
    </row>
    <row r="51" spans="1:10" ht="15" x14ac:dyDescent="0.25">
      <c r="A51" s="5" t="s">
        <v>51</v>
      </c>
      <c r="B51" s="6">
        <v>331623</v>
      </c>
      <c r="C51" s="6">
        <v>80695</v>
      </c>
      <c r="D51" s="6">
        <v>80695</v>
      </c>
      <c r="E51" s="6">
        <v>0</v>
      </c>
      <c r="F51" s="1">
        <v>2025</v>
      </c>
      <c r="G51" s="1">
        <v>8</v>
      </c>
      <c r="H51" s="1">
        <v>2024</v>
      </c>
      <c r="I51" s="1">
        <v>2</v>
      </c>
    </row>
    <row r="52" spans="1:10" ht="15" x14ac:dyDescent="0.25">
      <c r="A52" s="5" t="s">
        <v>52</v>
      </c>
      <c r="B52" s="6">
        <v>1479067</v>
      </c>
      <c r="C52" s="6" t="s">
        <v>8</v>
      </c>
      <c r="D52" s="6" t="s">
        <v>8</v>
      </c>
      <c r="E52" s="6" t="s">
        <v>8</v>
      </c>
      <c r="F52" s="1">
        <v>2025</v>
      </c>
      <c r="G52" s="1">
        <v>8</v>
      </c>
      <c r="H52" s="1">
        <v>2024</v>
      </c>
      <c r="I52" s="1">
        <v>2</v>
      </c>
    </row>
    <row r="53" spans="1:10" ht="15" x14ac:dyDescent="0.25">
      <c r="A53" s="5" t="s">
        <v>53</v>
      </c>
      <c r="B53" s="6">
        <v>118829</v>
      </c>
      <c r="C53" s="6">
        <v>21562</v>
      </c>
      <c r="D53" s="6">
        <v>21562</v>
      </c>
      <c r="E53" s="6">
        <v>0</v>
      </c>
      <c r="F53" s="1">
        <v>2025</v>
      </c>
      <c r="G53" s="1">
        <v>8</v>
      </c>
      <c r="H53" s="1">
        <v>2024</v>
      </c>
      <c r="I53" s="1">
        <v>2</v>
      </c>
      <c r="J53" s="9" t="s">
        <v>196</v>
      </c>
    </row>
    <row r="54" spans="1:10" ht="15" x14ac:dyDescent="0.25">
      <c r="A54" s="5" t="s">
        <v>54</v>
      </c>
      <c r="B54" s="6">
        <v>1679728</v>
      </c>
      <c r="C54" s="6" t="s">
        <v>8</v>
      </c>
      <c r="D54" s="6" t="s">
        <v>8</v>
      </c>
      <c r="E54" s="6" t="s">
        <v>8</v>
      </c>
      <c r="F54" s="1">
        <v>2025</v>
      </c>
      <c r="G54" s="1">
        <v>8</v>
      </c>
      <c r="H54" s="1">
        <v>2024</v>
      </c>
      <c r="I54" s="1">
        <v>2</v>
      </c>
    </row>
    <row r="55" spans="1:10" ht="15" x14ac:dyDescent="0.25">
      <c r="A55" s="5" t="s">
        <v>55</v>
      </c>
      <c r="B55" s="6">
        <v>4400991</v>
      </c>
      <c r="C55" s="6" t="s">
        <v>8</v>
      </c>
      <c r="D55" s="6" t="s">
        <v>8</v>
      </c>
      <c r="E55" s="6" t="s">
        <v>8</v>
      </c>
      <c r="F55" s="1">
        <v>2025</v>
      </c>
      <c r="G55" s="1">
        <v>8</v>
      </c>
      <c r="H55" s="1">
        <v>2024</v>
      </c>
      <c r="I55" s="1">
        <v>2</v>
      </c>
    </row>
    <row r="56" spans="1:10" ht="15" x14ac:dyDescent="0.25">
      <c r="A56" s="5" t="s">
        <v>56</v>
      </c>
      <c r="B56" s="6">
        <v>361013</v>
      </c>
      <c r="C56" s="6">
        <v>91240</v>
      </c>
      <c r="D56" s="6">
        <v>90130</v>
      </c>
      <c r="E56" s="6">
        <v>1110</v>
      </c>
      <c r="F56" s="1">
        <v>2025</v>
      </c>
      <c r="G56" s="1">
        <v>8</v>
      </c>
      <c r="H56" s="1">
        <v>2024</v>
      </c>
      <c r="I56" s="1">
        <v>2</v>
      </c>
      <c r="J56" s="9" t="s">
        <v>195</v>
      </c>
    </row>
    <row r="57" spans="1:10" ht="15" x14ac:dyDescent="0.25">
      <c r="A57" s="5" t="s">
        <v>57</v>
      </c>
      <c r="B57" s="6">
        <v>179582</v>
      </c>
      <c r="C57" s="6">
        <v>72334</v>
      </c>
      <c r="D57" s="6">
        <v>0</v>
      </c>
      <c r="E57" s="6">
        <v>72334</v>
      </c>
      <c r="F57" s="1">
        <v>2025</v>
      </c>
      <c r="G57" s="1">
        <v>8</v>
      </c>
      <c r="H57" s="1">
        <v>2024</v>
      </c>
      <c r="I57" s="1">
        <v>2</v>
      </c>
    </row>
    <row r="58" spans="1:10" ht="15" x14ac:dyDescent="0.25">
      <c r="A58" s="5" t="s">
        <v>58</v>
      </c>
      <c r="B58" s="6">
        <v>25617</v>
      </c>
      <c r="C58" s="6">
        <v>11228</v>
      </c>
      <c r="D58" s="6" t="s">
        <v>8</v>
      </c>
      <c r="E58" s="6">
        <v>11228</v>
      </c>
      <c r="F58" s="1">
        <v>2025</v>
      </c>
      <c r="G58" s="1">
        <v>8</v>
      </c>
      <c r="H58" s="1">
        <v>2024</v>
      </c>
      <c r="I58" s="1">
        <v>2</v>
      </c>
      <c r="J58" s="9" t="s">
        <v>194</v>
      </c>
    </row>
    <row r="59" spans="1:10" ht="15" x14ac:dyDescent="0.25">
      <c r="A59" s="5" t="s">
        <v>59</v>
      </c>
      <c r="B59" s="6">
        <v>1935375</v>
      </c>
      <c r="C59" s="6">
        <v>733274</v>
      </c>
      <c r="D59" s="6">
        <v>733274</v>
      </c>
      <c r="E59" s="6">
        <v>0</v>
      </c>
      <c r="F59" s="1">
        <v>2025</v>
      </c>
      <c r="G59" s="1">
        <v>8</v>
      </c>
      <c r="H59" s="1">
        <v>2024</v>
      </c>
      <c r="I59" s="1">
        <v>2</v>
      </c>
      <c r="J59" s="9" t="s">
        <v>193</v>
      </c>
    </row>
    <row r="60" spans="1:10" ht="15" x14ac:dyDescent="0.25">
      <c r="A60" s="5" t="s">
        <v>60</v>
      </c>
      <c r="B60" s="6">
        <v>1915728</v>
      </c>
      <c r="C60" s="6">
        <v>661534</v>
      </c>
      <c r="D60" s="6">
        <v>639926</v>
      </c>
      <c r="E60" s="6">
        <v>21608</v>
      </c>
      <c r="F60" s="1">
        <v>2025</v>
      </c>
      <c r="G60" s="1">
        <v>8</v>
      </c>
      <c r="H60" s="1">
        <v>2024</v>
      </c>
      <c r="I60" s="1">
        <v>2</v>
      </c>
    </row>
    <row r="61" spans="1:10" ht="15" x14ac:dyDescent="0.25">
      <c r="A61" s="5" t="s">
        <v>61</v>
      </c>
      <c r="B61" s="6">
        <v>532578</v>
      </c>
      <c r="C61" s="6">
        <v>175130</v>
      </c>
      <c r="D61" s="6">
        <v>175130</v>
      </c>
      <c r="E61" s="6">
        <v>0</v>
      </c>
      <c r="F61" s="1">
        <v>2025</v>
      </c>
      <c r="G61" s="1">
        <v>8</v>
      </c>
      <c r="H61" s="1">
        <v>2024</v>
      </c>
      <c r="I61" s="1">
        <v>2</v>
      </c>
    </row>
    <row r="62" spans="1:10" ht="15" x14ac:dyDescent="0.25">
      <c r="A62" s="5" t="s">
        <v>62</v>
      </c>
      <c r="B62" s="6">
        <v>1362275</v>
      </c>
      <c r="C62" s="6" t="s">
        <v>8</v>
      </c>
      <c r="D62" s="6" t="s">
        <v>8</v>
      </c>
      <c r="E62" s="6" t="s">
        <v>8</v>
      </c>
      <c r="F62" s="1">
        <v>2025</v>
      </c>
      <c r="G62" s="1">
        <v>8</v>
      </c>
      <c r="H62" s="1">
        <v>2024</v>
      </c>
      <c r="I62" s="1">
        <v>2</v>
      </c>
    </row>
    <row r="63" spans="1:10" ht="15" x14ac:dyDescent="0.25">
      <c r="A63" s="5" t="s">
        <v>63</v>
      </c>
      <c r="B63" s="6">
        <v>77173</v>
      </c>
      <c r="C63" s="6" t="s">
        <v>8</v>
      </c>
      <c r="D63" s="6" t="s">
        <v>8</v>
      </c>
      <c r="E63" s="6" t="s">
        <v>8</v>
      </c>
      <c r="F63" s="1">
        <v>2025</v>
      </c>
      <c r="G63" s="1">
        <v>8</v>
      </c>
      <c r="H63" s="1">
        <v>2024</v>
      </c>
      <c r="I63" s="1">
        <v>2</v>
      </c>
    </row>
    <row r="64" spans="1:10" ht="15.6" customHeight="1" x14ac:dyDescent="0.25">
      <c r="A64" s="7" t="s">
        <v>64</v>
      </c>
      <c r="B64" s="8">
        <f>SUM(B8:B63)</f>
        <v>89239469</v>
      </c>
      <c r="C64" s="8">
        <f>SUM(C8:C63)</f>
        <v>22379889</v>
      </c>
      <c r="D64" s="8">
        <f>SUM(D8:D63)</f>
        <v>17770896</v>
      </c>
      <c r="E64" s="8">
        <f>SUM(E8:E63)</f>
        <v>4608993</v>
      </c>
      <c r="F64" s="1">
        <v>2025</v>
      </c>
      <c r="G64" s="1">
        <v>8</v>
      </c>
      <c r="H64" s="1">
        <v>2024</v>
      </c>
      <c r="I64" s="1">
        <v>2</v>
      </c>
    </row>
  </sheetData>
  <conditionalFormatting sqref="A8:E64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8, 2025 7:09 AM&amp;R&amp;"-,Regular"&amp;7Page : &amp;"-,Regular"&amp;7&amp;P&amp;"-,Regular"&amp;7 of &amp;"-,Regular"&amp;7&amp;N</oddFooter>
    <evenFooter>&amp;L&amp;"-,Regular"&amp;7Created On: Friday, August 8, 2025 7:09 AM&amp;R&amp;"-,Regular"&amp;7Page : &amp;"-,Regular"&amp;7&amp;P&amp;"-,Regular"&amp;7 of &amp;"-,Regular"&amp;7&amp;N</evenFooter>
    <firstFooter>&amp;L&amp;"-,Regular"&amp;7Created On: Friday, August 8, 2025 7:09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C21A-A96A-4EE0-8881-61FDEE5A74C3}">
  <sheetPr>
    <pageSetUpPr fitToPage="1"/>
  </sheetPr>
  <dimension ref="A1:J64"/>
  <sheetViews>
    <sheetView workbookViewId="0">
      <pane ySplit="7" topLeftCell="A8" activePane="bottomLeft" state="frozenSplit"/>
      <selection activeCell="F65" sqref="F65"/>
      <selection pane="bottomLeft" activeCell="K19" sqref="K19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9" width="9.140625" style="1"/>
    <col min="10" max="10" width="69" style="1" customWidth="1"/>
    <col min="11" max="16384" width="9.140625" style="1"/>
  </cols>
  <sheetData>
    <row r="1" spans="1:10" ht="15" x14ac:dyDescent="0.25">
      <c r="A1" s="2" t="s">
        <v>0</v>
      </c>
      <c r="B1" s="2"/>
      <c r="C1" s="2"/>
      <c r="D1" s="2"/>
      <c r="E1" s="2"/>
    </row>
    <row r="2" spans="1:10" ht="15" x14ac:dyDescent="0.25">
      <c r="A2" s="2" t="s">
        <v>215</v>
      </c>
      <c r="B2" s="2"/>
      <c r="C2" s="2"/>
      <c r="D2" s="2"/>
      <c r="E2" s="2"/>
    </row>
    <row r="3" spans="1:10" ht="15" x14ac:dyDescent="0.25">
      <c r="A3" s="2" t="s">
        <v>214</v>
      </c>
      <c r="B3" s="2"/>
      <c r="C3" s="2"/>
      <c r="D3" s="2"/>
      <c r="E3" s="2"/>
    </row>
    <row r="4" spans="1:10" ht="15" x14ac:dyDescent="0.25">
      <c r="A4" s="2" t="s">
        <v>1</v>
      </c>
      <c r="B4" s="2"/>
      <c r="C4" s="2"/>
      <c r="D4" s="2"/>
      <c r="E4" s="2"/>
    </row>
    <row r="5" spans="1:10" ht="15" x14ac:dyDescent="0.25">
      <c r="A5" s="3"/>
      <c r="B5" s="3"/>
      <c r="C5" s="3"/>
      <c r="D5" s="3"/>
      <c r="E5" s="3"/>
    </row>
    <row r="6" spans="1:10" ht="15" x14ac:dyDescent="0.25">
      <c r="A6" s="3"/>
      <c r="B6" s="3"/>
      <c r="C6" s="3"/>
      <c r="D6" s="3"/>
      <c r="E6" s="3"/>
    </row>
    <row r="7" spans="1:10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12" t="s">
        <v>213</v>
      </c>
      <c r="G7" s="12" t="s">
        <v>212</v>
      </c>
      <c r="H7" s="12" t="s">
        <v>211</v>
      </c>
      <c r="I7" s="12" t="s">
        <v>210</v>
      </c>
      <c r="J7" s="12" t="s">
        <v>209</v>
      </c>
    </row>
    <row r="8" spans="1:10" ht="15" x14ac:dyDescent="0.25">
      <c r="A8" s="5" t="s">
        <v>7</v>
      </c>
      <c r="B8" s="6">
        <v>1180106</v>
      </c>
      <c r="C8" s="6" t="s">
        <v>8</v>
      </c>
      <c r="D8" s="6" t="s">
        <v>8</v>
      </c>
      <c r="E8" s="6" t="s">
        <v>8</v>
      </c>
      <c r="F8" s="1">
        <v>2025</v>
      </c>
      <c r="G8" s="1">
        <v>8</v>
      </c>
      <c r="H8" s="1">
        <v>2024</v>
      </c>
      <c r="I8" s="1">
        <v>3</v>
      </c>
    </row>
    <row r="9" spans="1:10" ht="15" x14ac:dyDescent="0.25">
      <c r="A9" s="5" t="s">
        <v>9</v>
      </c>
      <c r="B9" s="6">
        <v>243000</v>
      </c>
      <c r="C9" s="6">
        <v>72164</v>
      </c>
      <c r="D9" s="6">
        <v>72163</v>
      </c>
      <c r="E9" s="6">
        <v>1</v>
      </c>
      <c r="F9" s="1">
        <v>2025</v>
      </c>
      <c r="G9" s="1">
        <v>8</v>
      </c>
      <c r="H9" s="1">
        <v>2024</v>
      </c>
      <c r="I9" s="1">
        <v>3</v>
      </c>
      <c r="J9" s="9" t="s">
        <v>208</v>
      </c>
    </row>
    <row r="10" spans="1:10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  <c r="F10" s="1">
        <v>2025</v>
      </c>
      <c r="G10" s="1">
        <v>8</v>
      </c>
      <c r="H10" s="1">
        <v>2024</v>
      </c>
      <c r="I10" s="1">
        <v>3</v>
      </c>
    </row>
    <row r="11" spans="1:10" ht="15" x14ac:dyDescent="0.25">
      <c r="A11" s="5" t="s">
        <v>11</v>
      </c>
      <c r="B11" s="6">
        <v>2181738</v>
      </c>
      <c r="C11" s="6">
        <v>648674</v>
      </c>
      <c r="D11" s="6">
        <v>127329</v>
      </c>
      <c r="E11" s="6">
        <v>521345</v>
      </c>
      <c r="F11" s="1">
        <v>2025</v>
      </c>
      <c r="G11" s="1">
        <v>8</v>
      </c>
      <c r="H11" s="1">
        <v>2024</v>
      </c>
      <c r="I11" s="1">
        <v>3</v>
      </c>
    </row>
    <row r="12" spans="1:10" ht="15" x14ac:dyDescent="0.25">
      <c r="A12" s="5" t="s">
        <v>12</v>
      </c>
      <c r="B12" s="6">
        <v>807345</v>
      </c>
      <c r="C12" s="6">
        <v>249030</v>
      </c>
      <c r="D12" s="6">
        <v>241399</v>
      </c>
      <c r="E12" s="6">
        <v>7631</v>
      </c>
      <c r="F12" s="1">
        <v>2025</v>
      </c>
      <c r="G12" s="1">
        <v>8</v>
      </c>
      <c r="H12" s="1">
        <v>2024</v>
      </c>
      <c r="I12" s="1">
        <v>3</v>
      </c>
    </row>
    <row r="13" spans="1:10" ht="15" x14ac:dyDescent="0.25">
      <c r="A13" s="5" t="s">
        <v>13</v>
      </c>
      <c r="B13" s="6">
        <v>14675652</v>
      </c>
      <c r="C13" s="6">
        <v>5038032</v>
      </c>
      <c r="D13" s="6">
        <v>5011730</v>
      </c>
      <c r="E13" s="6">
        <v>26302</v>
      </c>
      <c r="F13" s="1">
        <v>2025</v>
      </c>
      <c r="G13" s="1">
        <v>8</v>
      </c>
      <c r="H13" s="1">
        <v>2024</v>
      </c>
      <c r="I13" s="1">
        <v>3</v>
      </c>
    </row>
    <row r="14" spans="1:10" ht="15" x14ac:dyDescent="0.25">
      <c r="A14" s="5" t="s">
        <v>14</v>
      </c>
      <c r="B14" s="6">
        <v>1217108</v>
      </c>
      <c r="C14" s="6">
        <v>390398</v>
      </c>
      <c r="D14" s="6">
        <v>383924</v>
      </c>
      <c r="E14" s="6">
        <v>6474</v>
      </c>
      <c r="F14" s="1">
        <v>2025</v>
      </c>
      <c r="G14" s="1">
        <v>8</v>
      </c>
      <c r="H14" s="1">
        <v>2024</v>
      </c>
      <c r="I14" s="1">
        <v>3</v>
      </c>
    </row>
    <row r="15" spans="1:10" ht="15" x14ac:dyDescent="0.25">
      <c r="A15" s="5" t="s">
        <v>15</v>
      </c>
      <c r="B15" s="6">
        <v>1105070</v>
      </c>
      <c r="C15" s="6">
        <v>333585</v>
      </c>
      <c r="D15" s="6">
        <v>304895</v>
      </c>
      <c r="E15" s="6">
        <v>28690</v>
      </c>
      <c r="F15" s="1">
        <v>2025</v>
      </c>
      <c r="G15" s="1">
        <v>8</v>
      </c>
      <c r="H15" s="1">
        <v>2024</v>
      </c>
      <c r="I15" s="1">
        <v>3</v>
      </c>
    </row>
    <row r="16" spans="1:10" ht="15" x14ac:dyDescent="0.25">
      <c r="A16" s="5" t="s">
        <v>16</v>
      </c>
      <c r="B16" s="6">
        <v>258366</v>
      </c>
      <c r="C16" s="6">
        <v>79660</v>
      </c>
      <c r="D16" s="6">
        <v>11774</v>
      </c>
      <c r="E16" s="6">
        <v>67886</v>
      </c>
      <c r="F16" s="1">
        <v>2025</v>
      </c>
      <c r="G16" s="1">
        <v>8</v>
      </c>
      <c r="H16" s="1">
        <v>2024</v>
      </c>
      <c r="I16" s="1">
        <v>3</v>
      </c>
    </row>
    <row r="17" spans="1:10" ht="15" x14ac:dyDescent="0.25">
      <c r="A17" s="5" t="s">
        <v>17</v>
      </c>
      <c r="B17" s="6">
        <v>271173</v>
      </c>
      <c r="C17" s="6">
        <v>126604</v>
      </c>
      <c r="D17" s="6">
        <v>82331</v>
      </c>
      <c r="E17" s="6">
        <v>44273</v>
      </c>
      <c r="F17" s="1">
        <v>2025</v>
      </c>
      <c r="G17" s="1">
        <v>8</v>
      </c>
      <c r="H17" s="1">
        <v>2024</v>
      </c>
      <c r="I17" s="1">
        <v>3</v>
      </c>
    </row>
    <row r="18" spans="1:10" ht="15" x14ac:dyDescent="0.25">
      <c r="A18" s="5" t="s">
        <v>18</v>
      </c>
      <c r="B18" s="6">
        <v>4657973</v>
      </c>
      <c r="C18" s="6" t="s">
        <v>8</v>
      </c>
      <c r="D18" s="6" t="s">
        <v>8</v>
      </c>
      <c r="E18" s="6" t="s">
        <v>8</v>
      </c>
      <c r="F18" s="1">
        <v>2025</v>
      </c>
      <c r="G18" s="1">
        <v>8</v>
      </c>
      <c r="H18" s="1">
        <v>2024</v>
      </c>
      <c r="I18" s="1">
        <v>3</v>
      </c>
    </row>
    <row r="19" spans="1:10" ht="15" x14ac:dyDescent="0.25">
      <c r="A19" s="5" t="s">
        <v>19</v>
      </c>
      <c r="B19" s="6">
        <v>2111671</v>
      </c>
      <c r="C19" s="6" t="s">
        <v>8</v>
      </c>
      <c r="D19" s="6" t="s">
        <v>8</v>
      </c>
      <c r="E19" s="6" t="s">
        <v>8</v>
      </c>
      <c r="F19" s="1">
        <v>2025</v>
      </c>
      <c r="G19" s="1">
        <v>8</v>
      </c>
      <c r="H19" s="1">
        <v>2024</v>
      </c>
      <c r="I19" s="1">
        <v>3</v>
      </c>
    </row>
    <row r="20" spans="1:10" ht="15" x14ac:dyDescent="0.25">
      <c r="A20" s="5" t="s">
        <v>20</v>
      </c>
      <c r="B20" s="6">
        <v>40613</v>
      </c>
      <c r="C20" s="6">
        <v>5778</v>
      </c>
      <c r="D20" s="6" t="s">
        <v>8</v>
      </c>
      <c r="E20" s="6">
        <v>5778</v>
      </c>
      <c r="F20" s="1">
        <v>2025</v>
      </c>
      <c r="G20" s="1">
        <v>8</v>
      </c>
      <c r="H20" s="1">
        <v>2024</v>
      </c>
      <c r="I20" s="1">
        <v>3</v>
      </c>
    </row>
    <row r="21" spans="1:10" ht="15" x14ac:dyDescent="0.25">
      <c r="A21" s="5" t="s">
        <v>21</v>
      </c>
      <c r="B21" s="6">
        <v>474942</v>
      </c>
      <c r="C21" s="6">
        <v>176880</v>
      </c>
      <c r="D21" s="6">
        <v>28071</v>
      </c>
      <c r="E21" s="6">
        <v>148809</v>
      </c>
      <c r="F21" s="1">
        <v>2025</v>
      </c>
      <c r="G21" s="1">
        <v>8</v>
      </c>
      <c r="H21" s="1">
        <v>2024</v>
      </c>
      <c r="I21" s="1">
        <v>3</v>
      </c>
    </row>
    <row r="22" spans="1:10" ht="15" x14ac:dyDescent="0.25">
      <c r="A22" s="5" t="s">
        <v>22</v>
      </c>
      <c r="B22" s="6">
        <v>662734</v>
      </c>
      <c r="C22" s="6">
        <v>97209</v>
      </c>
      <c r="D22" s="6">
        <v>97209</v>
      </c>
      <c r="E22" s="6">
        <v>0</v>
      </c>
      <c r="F22" s="1">
        <v>2025</v>
      </c>
      <c r="G22" s="1">
        <v>8</v>
      </c>
      <c r="H22" s="1">
        <v>2024</v>
      </c>
      <c r="I22" s="1">
        <v>3</v>
      </c>
      <c r="J22" s="9" t="s">
        <v>207</v>
      </c>
    </row>
    <row r="23" spans="1:10" ht="15" x14ac:dyDescent="0.25">
      <c r="A23" s="5" t="s">
        <v>23</v>
      </c>
      <c r="B23" s="6">
        <v>3177691</v>
      </c>
      <c r="C23" s="6">
        <v>916464</v>
      </c>
      <c r="D23" s="6">
        <v>829957</v>
      </c>
      <c r="E23" s="6">
        <v>86507</v>
      </c>
      <c r="F23" s="1">
        <v>2025</v>
      </c>
      <c r="G23" s="1">
        <v>8</v>
      </c>
      <c r="H23" s="1">
        <v>2024</v>
      </c>
      <c r="I23" s="1">
        <v>3</v>
      </c>
    </row>
    <row r="24" spans="1:10" ht="15" x14ac:dyDescent="0.25">
      <c r="A24" s="5" t="s">
        <v>24</v>
      </c>
      <c r="B24" s="6">
        <v>1864413</v>
      </c>
      <c r="C24" s="6">
        <v>574000</v>
      </c>
      <c r="D24" s="6">
        <v>574000</v>
      </c>
      <c r="E24" s="6">
        <v>0</v>
      </c>
      <c r="F24" s="1">
        <v>2025</v>
      </c>
      <c r="G24" s="1">
        <v>8</v>
      </c>
      <c r="H24" s="1">
        <v>2024</v>
      </c>
      <c r="I24" s="1">
        <v>3</v>
      </c>
      <c r="J24" s="9" t="s">
        <v>206</v>
      </c>
    </row>
    <row r="25" spans="1:10" ht="15" x14ac:dyDescent="0.25">
      <c r="A25" s="5" t="s">
        <v>25</v>
      </c>
      <c r="B25" s="6">
        <v>627941</v>
      </c>
      <c r="C25" s="6">
        <v>191075</v>
      </c>
      <c r="D25" s="6">
        <v>184047</v>
      </c>
      <c r="E25" s="6">
        <v>7028</v>
      </c>
      <c r="F25" s="1">
        <v>2025</v>
      </c>
      <c r="G25" s="1">
        <v>8</v>
      </c>
      <c r="H25" s="1">
        <v>2024</v>
      </c>
      <c r="I25" s="1">
        <v>3</v>
      </c>
    </row>
    <row r="26" spans="1:10" ht="15" x14ac:dyDescent="0.25">
      <c r="A26" s="5" t="s">
        <v>26</v>
      </c>
      <c r="B26" s="6">
        <v>395819</v>
      </c>
      <c r="C26" s="6" t="s">
        <v>8</v>
      </c>
      <c r="D26" s="6" t="s">
        <v>8</v>
      </c>
      <c r="E26" s="6" t="s">
        <v>8</v>
      </c>
      <c r="F26" s="1">
        <v>2025</v>
      </c>
      <c r="G26" s="1">
        <v>8</v>
      </c>
      <c r="H26" s="1">
        <v>2024</v>
      </c>
      <c r="I26" s="1">
        <v>3</v>
      </c>
    </row>
    <row r="27" spans="1:10" ht="15" x14ac:dyDescent="0.25">
      <c r="A27" s="5" t="s">
        <v>27</v>
      </c>
      <c r="B27" s="6">
        <v>1460718</v>
      </c>
      <c r="C27" s="6">
        <v>543119</v>
      </c>
      <c r="D27" s="6">
        <v>543119</v>
      </c>
      <c r="E27" s="6">
        <v>0</v>
      </c>
      <c r="F27" s="1">
        <v>2025</v>
      </c>
      <c r="G27" s="1">
        <v>8</v>
      </c>
      <c r="H27" s="1">
        <v>2024</v>
      </c>
      <c r="I27" s="1">
        <v>3</v>
      </c>
    </row>
    <row r="28" spans="1:10" ht="15" x14ac:dyDescent="0.25">
      <c r="A28" s="5" t="s">
        <v>28</v>
      </c>
      <c r="B28" s="6">
        <v>2013635</v>
      </c>
      <c r="C28" s="6">
        <v>897928</v>
      </c>
      <c r="D28" s="6">
        <v>644297</v>
      </c>
      <c r="E28" s="6">
        <v>253631</v>
      </c>
      <c r="F28" s="1">
        <v>2025</v>
      </c>
      <c r="G28" s="1">
        <v>8</v>
      </c>
      <c r="H28" s="1">
        <v>2024</v>
      </c>
      <c r="I28" s="1">
        <v>3</v>
      </c>
      <c r="J28" s="9" t="s">
        <v>205</v>
      </c>
    </row>
    <row r="29" spans="1:10" ht="15" x14ac:dyDescent="0.25">
      <c r="A29" s="5" t="s">
        <v>29</v>
      </c>
      <c r="B29" s="6">
        <v>399377</v>
      </c>
      <c r="C29" s="6">
        <v>114114</v>
      </c>
      <c r="D29" s="6">
        <v>89949</v>
      </c>
      <c r="E29" s="6">
        <v>24165</v>
      </c>
      <c r="F29" s="1">
        <v>2025</v>
      </c>
      <c r="G29" s="1">
        <v>8</v>
      </c>
      <c r="H29" s="1">
        <v>2024</v>
      </c>
      <c r="I29" s="1">
        <v>3</v>
      </c>
      <c r="J29" s="9" t="s">
        <v>204</v>
      </c>
    </row>
    <row r="30" spans="1:10" ht="15" x14ac:dyDescent="0.25">
      <c r="A30" s="5" t="s">
        <v>30</v>
      </c>
      <c r="B30" s="6">
        <v>1506499</v>
      </c>
      <c r="C30" s="6">
        <v>430628</v>
      </c>
      <c r="D30" s="6">
        <v>430628</v>
      </c>
      <c r="E30" s="6">
        <v>0</v>
      </c>
      <c r="F30" s="1">
        <v>2025</v>
      </c>
      <c r="G30" s="1">
        <v>8</v>
      </c>
      <c r="H30" s="1">
        <v>2024</v>
      </c>
      <c r="I30" s="1">
        <v>3</v>
      </c>
    </row>
    <row r="31" spans="1:10" ht="15" x14ac:dyDescent="0.25">
      <c r="A31" s="5" t="s">
        <v>31</v>
      </c>
      <c r="B31" s="6">
        <v>2043692</v>
      </c>
      <c r="C31" s="6">
        <v>415538</v>
      </c>
      <c r="D31" s="6">
        <v>0</v>
      </c>
      <c r="E31" s="6">
        <v>415538</v>
      </c>
      <c r="F31" s="1">
        <v>2025</v>
      </c>
      <c r="G31" s="1">
        <v>8</v>
      </c>
      <c r="H31" s="1">
        <v>2024</v>
      </c>
      <c r="I31" s="1">
        <v>3</v>
      </c>
    </row>
    <row r="32" spans="1:10" ht="15" x14ac:dyDescent="0.25">
      <c r="A32" s="5" t="s">
        <v>32</v>
      </c>
      <c r="B32" s="6">
        <v>2606651</v>
      </c>
      <c r="C32" s="6">
        <v>857492</v>
      </c>
      <c r="D32" s="6">
        <v>797520</v>
      </c>
      <c r="E32" s="6">
        <v>59972</v>
      </c>
      <c r="F32" s="1">
        <v>2025</v>
      </c>
      <c r="G32" s="1">
        <v>8</v>
      </c>
      <c r="H32" s="1">
        <v>2024</v>
      </c>
      <c r="I32" s="1">
        <v>3</v>
      </c>
      <c r="J32" s="9" t="s">
        <v>203</v>
      </c>
    </row>
    <row r="33" spans="1:10" ht="15" x14ac:dyDescent="0.25">
      <c r="A33" s="5" t="s">
        <v>33</v>
      </c>
      <c r="B33" s="6">
        <v>1205715</v>
      </c>
      <c r="C33" s="6">
        <v>239048</v>
      </c>
      <c r="D33" s="6">
        <v>239048</v>
      </c>
      <c r="E33" s="6">
        <v>0</v>
      </c>
      <c r="F33" s="1">
        <v>2025</v>
      </c>
      <c r="G33" s="1">
        <v>8</v>
      </c>
      <c r="H33" s="1">
        <v>2024</v>
      </c>
      <c r="I33" s="1">
        <v>3</v>
      </c>
    </row>
    <row r="34" spans="1:10" ht="15" x14ac:dyDescent="0.25">
      <c r="A34" s="5" t="s">
        <v>34</v>
      </c>
      <c r="B34" s="6">
        <v>739675</v>
      </c>
      <c r="C34" s="6" t="s">
        <v>8</v>
      </c>
      <c r="D34" s="6" t="s">
        <v>8</v>
      </c>
      <c r="E34" s="6" t="s">
        <v>8</v>
      </c>
      <c r="F34" s="1">
        <v>2025</v>
      </c>
      <c r="G34" s="1">
        <v>8</v>
      </c>
      <c r="H34" s="1">
        <v>2024</v>
      </c>
      <c r="I34" s="1">
        <v>3</v>
      </c>
    </row>
    <row r="35" spans="1:10" ht="15" x14ac:dyDescent="0.25">
      <c r="A35" s="5" t="s">
        <v>35</v>
      </c>
      <c r="B35" s="6">
        <v>1311231</v>
      </c>
      <c r="C35" s="6">
        <v>336693</v>
      </c>
      <c r="D35" s="6">
        <v>336693</v>
      </c>
      <c r="E35" s="6">
        <v>0</v>
      </c>
      <c r="F35" s="1">
        <v>2025</v>
      </c>
      <c r="G35" s="1">
        <v>8</v>
      </c>
      <c r="H35" s="1">
        <v>2024</v>
      </c>
      <c r="I35" s="1">
        <v>3</v>
      </c>
      <c r="J35" s="9" t="s">
        <v>202</v>
      </c>
    </row>
    <row r="36" spans="1:10" ht="15" x14ac:dyDescent="0.25">
      <c r="A36" s="5" t="s">
        <v>36</v>
      </c>
      <c r="B36" s="6">
        <v>232602</v>
      </c>
      <c r="C36" s="6">
        <v>84303</v>
      </c>
      <c r="D36" s="6">
        <v>84303</v>
      </c>
      <c r="E36" s="6">
        <v>0</v>
      </c>
      <c r="F36" s="1">
        <v>2025</v>
      </c>
      <c r="G36" s="1">
        <v>8</v>
      </c>
      <c r="H36" s="1">
        <v>2024</v>
      </c>
      <c r="I36" s="1">
        <v>3</v>
      </c>
      <c r="J36" s="9" t="s">
        <v>201</v>
      </c>
    </row>
    <row r="37" spans="1:10" ht="15" x14ac:dyDescent="0.25">
      <c r="A37" s="5" t="s">
        <v>37</v>
      </c>
      <c r="B37" s="6">
        <v>19048</v>
      </c>
      <c r="C37" s="6" t="s">
        <v>8</v>
      </c>
      <c r="D37" s="6" t="s">
        <v>8</v>
      </c>
      <c r="E37" s="6" t="s">
        <v>8</v>
      </c>
      <c r="F37" s="1">
        <v>2025</v>
      </c>
      <c r="G37" s="1">
        <v>8</v>
      </c>
      <c r="H37" s="1">
        <v>2024</v>
      </c>
      <c r="I37" s="1">
        <v>3</v>
      </c>
    </row>
    <row r="38" spans="1:10" ht="15" x14ac:dyDescent="0.25">
      <c r="A38" s="5" t="s">
        <v>38</v>
      </c>
      <c r="B38" s="6">
        <v>357216</v>
      </c>
      <c r="C38" s="6">
        <v>75727</v>
      </c>
      <c r="D38" s="6">
        <v>73998</v>
      </c>
      <c r="E38" s="6">
        <v>1729</v>
      </c>
      <c r="F38" s="1">
        <v>2025</v>
      </c>
      <c r="G38" s="1">
        <v>8</v>
      </c>
      <c r="H38" s="1">
        <v>2024</v>
      </c>
      <c r="I38" s="1">
        <v>3</v>
      </c>
    </row>
    <row r="39" spans="1:10" ht="15" x14ac:dyDescent="0.25">
      <c r="A39" s="5" t="s">
        <v>39</v>
      </c>
      <c r="B39" s="6">
        <v>801702</v>
      </c>
      <c r="C39" s="6">
        <v>355320</v>
      </c>
      <c r="D39" s="6">
        <v>355320</v>
      </c>
      <c r="E39" s="6">
        <v>0</v>
      </c>
      <c r="F39" s="1">
        <v>2025</v>
      </c>
      <c r="G39" s="1">
        <v>8</v>
      </c>
      <c r="H39" s="1">
        <v>2024</v>
      </c>
      <c r="I39" s="1">
        <v>3</v>
      </c>
    </row>
    <row r="40" spans="1:10" ht="15" x14ac:dyDescent="0.25">
      <c r="A40" s="5" t="s">
        <v>40</v>
      </c>
      <c r="B40" s="6">
        <v>181924</v>
      </c>
      <c r="C40" s="6">
        <v>61338</v>
      </c>
      <c r="D40" s="6">
        <v>60694</v>
      </c>
      <c r="E40" s="6">
        <v>644</v>
      </c>
      <c r="F40" s="1">
        <v>2025</v>
      </c>
      <c r="G40" s="1">
        <v>8</v>
      </c>
      <c r="H40" s="1">
        <v>2024</v>
      </c>
      <c r="I40" s="1">
        <v>3</v>
      </c>
      <c r="J40" s="9" t="s">
        <v>200</v>
      </c>
    </row>
    <row r="41" spans="1:10" ht="15" x14ac:dyDescent="0.25">
      <c r="A41" s="5" t="s">
        <v>41</v>
      </c>
      <c r="B41" s="6">
        <v>1882262</v>
      </c>
      <c r="C41" s="6">
        <v>651639</v>
      </c>
      <c r="D41" s="6">
        <v>651639</v>
      </c>
      <c r="E41" s="6">
        <v>0</v>
      </c>
      <c r="F41" s="1">
        <v>2025</v>
      </c>
      <c r="G41" s="1">
        <v>8</v>
      </c>
      <c r="H41" s="1">
        <v>2024</v>
      </c>
      <c r="I41" s="1">
        <v>3</v>
      </c>
    </row>
    <row r="42" spans="1:10" ht="15" x14ac:dyDescent="0.25">
      <c r="A42" s="5" t="s">
        <v>42</v>
      </c>
      <c r="B42" s="6">
        <v>882098</v>
      </c>
      <c r="C42" s="6">
        <v>285397</v>
      </c>
      <c r="D42" s="6">
        <v>285397</v>
      </c>
      <c r="E42" s="6">
        <v>0</v>
      </c>
      <c r="F42" s="1">
        <v>2025</v>
      </c>
      <c r="G42" s="1">
        <v>8</v>
      </c>
      <c r="H42" s="1">
        <v>2024</v>
      </c>
      <c r="I42" s="1">
        <v>3</v>
      </c>
    </row>
    <row r="43" spans="1:10" ht="15" x14ac:dyDescent="0.25">
      <c r="A43" s="5" t="s">
        <v>43</v>
      </c>
      <c r="B43" s="6">
        <v>7285480</v>
      </c>
      <c r="C43" s="6">
        <v>2281075</v>
      </c>
      <c r="D43" s="6">
        <v>366774</v>
      </c>
      <c r="E43" s="6">
        <v>1914301</v>
      </c>
      <c r="F43" s="1">
        <v>2025</v>
      </c>
      <c r="G43" s="1">
        <v>8</v>
      </c>
      <c r="H43" s="1">
        <v>2024</v>
      </c>
      <c r="I43" s="1">
        <v>3</v>
      </c>
    </row>
    <row r="44" spans="1:10" ht="15" x14ac:dyDescent="0.25">
      <c r="A44" s="5" t="s">
        <v>44</v>
      </c>
      <c r="B44" s="6">
        <v>3028970</v>
      </c>
      <c r="C44" s="6">
        <v>412080</v>
      </c>
      <c r="D44" s="6">
        <v>412080</v>
      </c>
      <c r="E44" s="6">
        <v>0</v>
      </c>
      <c r="F44" s="1">
        <v>2025</v>
      </c>
      <c r="G44" s="1">
        <v>8</v>
      </c>
      <c r="H44" s="1">
        <v>2024</v>
      </c>
      <c r="I44" s="1">
        <v>3</v>
      </c>
      <c r="J44" s="9" t="s">
        <v>199</v>
      </c>
    </row>
    <row r="45" spans="1:10" ht="15" x14ac:dyDescent="0.25">
      <c r="A45" s="5" t="s">
        <v>45</v>
      </c>
      <c r="B45" s="6">
        <v>109359</v>
      </c>
      <c r="C45" s="6">
        <v>26451</v>
      </c>
      <c r="D45" s="6">
        <v>25190</v>
      </c>
      <c r="E45" s="6">
        <v>1261</v>
      </c>
      <c r="F45" s="1">
        <v>2025</v>
      </c>
      <c r="G45" s="1">
        <v>8</v>
      </c>
      <c r="H45" s="1">
        <v>2024</v>
      </c>
      <c r="I45" s="1">
        <v>3</v>
      </c>
    </row>
    <row r="46" spans="1:10" ht="15" x14ac:dyDescent="0.25">
      <c r="A46" s="5" t="s">
        <v>46</v>
      </c>
      <c r="B46" s="6">
        <v>3219236</v>
      </c>
      <c r="C46" s="6">
        <v>765186</v>
      </c>
      <c r="D46" s="6">
        <v>764947</v>
      </c>
      <c r="E46" s="6">
        <v>239</v>
      </c>
      <c r="F46" s="1">
        <v>2025</v>
      </c>
      <c r="G46" s="1">
        <v>8</v>
      </c>
      <c r="H46" s="1">
        <v>2024</v>
      </c>
      <c r="I46" s="1">
        <v>3</v>
      </c>
    </row>
    <row r="47" spans="1:10" ht="15" x14ac:dyDescent="0.25">
      <c r="A47" s="5" t="s">
        <v>47</v>
      </c>
      <c r="B47" s="6">
        <v>992268</v>
      </c>
      <c r="C47" s="6">
        <v>240948</v>
      </c>
      <c r="D47" s="6">
        <v>240948</v>
      </c>
      <c r="E47" s="6">
        <v>0</v>
      </c>
      <c r="F47" s="1">
        <v>2025</v>
      </c>
      <c r="G47" s="1">
        <v>8</v>
      </c>
      <c r="H47" s="1">
        <v>2024</v>
      </c>
      <c r="I47" s="1">
        <v>3</v>
      </c>
      <c r="J47" s="9" t="s">
        <v>198</v>
      </c>
    </row>
    <row r="48" spans="1:10" ht="15" x14ac:dyDescent="0.25">
      <c r="A48" s="5" t="s">
        <v>48</v>
      </c>
      <c r="B48" s="6">
        <v>1273038</v>
      </c>
      <c r="C48" s="6">
        <v>675904</v>
      </c>
      <c r="D48" s="6">
        <v>566948</v>
      </c>
      <c r="E48" s="6">
        <v>108956</v>
      </c>
      <c r="F48" s="1">
        <v>2025</v>
      </c>
      <c r="G48" s="1">
        <v>8</v>
      </c>
      <c r="H48" s="1">
        <v>2024</v>
      </c>
      <c r="I48" s="1">
        <v>3</v>
      </c>
    </row>
    <row r="49" spans="1:10" ht="15" x14ac:dyDescent="0.25">
      <c r="A49" s="5" t="s">
        <v>49</v>
      </c>
      <c r="B49" s="6">
        <v>3156764</v>
      </c>
      <c r="C49" s="6">
        <v>928805</v>
      </c>
      <c r="D49" s="6">
        <v>874193</v>
      </c>
      <c r="E49" s="6">
        <v>54612</v>
      </c>
      <c r="F49" s="1">
        <v>2025</v>
      </c>
      <c r="G49" s="1">
        <v>8</v>
      </c>
      <c r="H49" s="1">
        <v>2024</v>
      </c>
      <c r="I49" s="1">
        <v>3</v>
      </c>
      <c r="J49" s="9" t="s">
        <v>197</v>
      </c>
    </row>
    <row r="50" spans="1:10" ht="15" x14ac:dyDescent="0.25">
      <c r="A50" s="5" t="s">
        <v>50</v>
      </c>
      <c r="B50" s="6">
        <v>1432490</v>
      </c>
      <c r="C50" s="6">
        <v>659810</v>
      </c>
      <c r="D50" s="6" t="s">
        <v>8</v>
      </c>
      <c r="E50" s="6">
        <v>659810</v>
      </c>
      <c r="F50" s="1">
        <v>2025</v>
      </c>
      <c r="G50" s="1">
        <v>8</v>
      </c>
      <c r="H50" s="1">
        <v>2024</v>
      </c>
      <c r="I50" s="1">
        <v>3</v>
      </c>
    </row>
    <row r="51" spans="1:10" ht="15" x14ac:dyDescent="0.25">
      <c r="A51" s="5" t="s">
        <v>51</v>
      </c>
      <c r="B51" s="6">
        <v>327240</v>
      </c>
      <c r="C51" s="6">
        <v>80705</v>
      </c>
      <c r="D51" s="6">
        <v>80705</v>
      </c>
      <c r="E51" s="6">
        <v>0</v>
      </c>
      <c r="F51" s="1">
        <v>2025</v>
      </c>
      <c r="G51" s="1">
        <v>8</v>
      </c>
      <c r="H51" s="1">
        <v>2024</v>
      </c>
      <c r="I51" s="1">
        <v>3</v>
      </c>
    </row>
    <row r="52" spans="1:10" ht="15" x14ac:dyDescent="0.25">
      <c r="A52" s="5" t="s">
        <v>52</v>
      </c>
      <c r="B52" s="6">
        <v>1461760</v>
      </c>
      <c r="C52" s="6" t="s">
        <v>8</v>
      </c>
      <c r="D52" s="6" t="s">
        <v>8</v>
      </c>
      <c r="E52" s="6" t="s">
        <v>8</v>
      </c>
      <c r="F52" s="1">
        <v>2025</v>
      </c>
      <c r="G52" s="1">
        <v>8</v>
      </c>
      <c r="H52" s="1">
        <v>2024</v>
      </c>
      <c r="I52" s="1">
        <v>3</v>
      </c>
    </row>
    <row r="53" spans="1:10" ht="15" x14ac:dyDescent="0.25">
      <c r="A53" s="5" t="s">
        <v>53</v>
      </c>
      <c r="B53" s="6">
        <v>118087</v>
      </c>
      <c r="C53" s="6">
        <v>21739</v>
      </c>
      <c r="D53" s="6">
        <v>21739</v>
      </c>
      <c r="E53" s="6">
        <v>0</v>
      </c>
      <c r="F53" s="1">
        <v>2025</v>
      </c>
      <c r="G53" s="1">
        <v>8</v>
      </c>
      <c r="H53" s="1">
        <v>2024</v>
      </c>
      <c r="I53" s="1">
        <v>3</v>
      </c>
      <c r="J53" s="9" t="s">
        <v>196</v>
      </c>
    </row>
    <row r="54" spans="1:10" ht="15" x14ac:dyDescent="0.25">
      <c r="A54" s="5" t="s">
        <v>54</v>
      </c>
      <c r="B54" s="6">
        <v>1625824</v>
      </c>
      <c r="C54" s="6" t="s">
        <v>8</v>
      </c>
      <c r="D54" s="6" t="s">
        <v>8</v>
      </c>
      <c r="E54" s="6" t="s">
        <v>8</v>
      </c>
      <c r="F54" s="1">
        <v>2025</v>
      </c>
      <c r="G54" s="1">
        <v>8</v>
      </c>
      <c r="H54" s="1">
        <v>2024</v>
      </c>
      <c r="I54" s="1">
        <v>3</v>
      </c>
    </row>
    <row r="55" spans="1:10" ht="15" x14ac:dyDescent="0.25">
      <c r="A55" s="5" t="s">
        <v>55</v>
      </c>
      <c r="B55" s="6">
        <v>4481313</v>
      </c>
      <c r="C55" s="6" t="s">
        <v>8</v>
      </c>
      <c r="D55" s="6" t="s">
        <v>8</v>
      </c>
      <c r="E55" s="6" t="s">
        <v>8</v>
      </c>
      <c r="F55" s="1">
        <v>2025</v>
      </c>
      <c r="G55" s="1">
        <v>8</v>
      </c>
      <c r="H55" s="1">
        <v>2024</v>
      </c>
      <c r="I55" s="1">
        <v>3</v>
      </c>
    </row>
    <row r="56" spans="1:10" ht="15" x14ac:dyDescent="0.25">
      <c r="A56" s="5" t="s">
        <v>56</v>
      </c>
      <c r="B56" s="6">
        <v>348719</v>
      </c>
      <c r="C56" s="6">
        <v>83843</v>
      </c>
      <c r="D56" s="6">
        <v>82797</v>
      </c>
      <c r="E56" s="6">
        <v>1046</v>
      </c>
      <c r="F56" s="1">
        <v>2025</v>
      </c>
      <c r="G56" s="1">
        <v>8</v>
      </c>
      <c r="H56" s="1">
        <v>2024</v>
      </c>
      <c r="I56" s="1">
        <v>3</v>
      </c>
      <c r="J56" s="9" t="s">
        <v>195</v>
      </c>
    </row>
    <row r="57" spans="1:10" ht="15" x14ac:dyDescent="0.25">
      <c r="A57" s="5" t="s">
        <v>57</v>
      </c>
      <c r="B57" s="6">
        <v>176774</v>
      </c>
      <c r="C57" s="6">
        <v>70438</v>
      </c>
      <c r="D57" s="6">
        <v>0</v>
      </c>
      <c r="E57" s="6">
        <v>70438</v>
      </c>
      <c r="F57" s="1">
        <v>2025</v>
      </c>
      <c r="G57" s="1">
        <v>8</v>
      </c>
      <c r="H57" s="1">
        <v>2024</v>
      </c>
      <c r="I57" s="1">
        <v>3</v>
      </c>
    </row>
    <row r="58" spans="1:10" ht="15" x14ac:dyDescent="0.25">
      <c r="A58" s="5" t="s">
        <v>58</v>
      </c>
      <c r="B58" s="6">
        <v>22285</v>
      </c>
      <c r="C58" s="6">
        <v>9065</v>
      </c>
      <c r="D58" s="6" t="s">
        <v>8</v>
      </c>
      <c r="E58" s="6">
        <v>9065</v>
      </c>
      <c r="F58" s="1">
        <v>2025</v>
      </c>
      <c r="G58" s="1">
        <v>8</v>
      </c>
      <c r="H58" s="1">
        <v>2024</v>
      </c>
      <c r="I58" s="1">
        <v>3</v>
      </c>
      <c r="J58" s="9" t="s">
        <v>194</v>
      </c>
    </row>
    <row r="59" spans="1:10" ht="15" x14ac:dyDescent="0.25">
      <c r="A59" s="5" t="s">
        <v>59</v>
      </c>
      <c r="B59" s="6">
        <v>1900584</v>
      </c>
      <c r="C59" s="6">
        <v>721749</v>
      </c>
      <c r="D59" s="6">
        <v>721749</v>
      </c>
      <c r="E59" s="6">
        <v>0</v>
      </c>
      <c r="F59" s="1">
        <v>2025</v>
      </c>
      <c r="G59" s="1">
        <v>8</v>
      </c>
      <c r="H59" s="1">
        <v>2024</v>
      </c>
      <c r="I59" s="1">
        <v>3</v>
      </c>
      <c r="J59" s="9" t="s">
        <v>193</v>
      </c>
    </row>
    <row r="60" spans="1:10" ht="15" x14ac:dyDescent="0.25">
      <c r="A60" s="5" t="s">
        <v>60</v>
      </c>
      <c r="B60" s="6">
        <v>1898546</v>
      </c>
      <c r="C60" s="6">
        <v>647416</v>
      </c>
      <c r="D60" s="6">
        <v>625752</v>
      </c>
      <c r="E60" s="6">
        <v>21664</v>
      </c>
      <c r="F60" s="1">
        <v>2025</v>
      </c>
      <c r="G60" s="1">
        <v>8</v>
      </c>
      <c r="H60" s="1">
        <v>2024</v>
      </c>
      <c r="I60" s="1">
        <v>3</v>
      </c>
    </row>
    <row r="61" spans="1:10" ht="15" x14ac:dyDescent="0.25">
      <c r="A61" s="5" t="s">
        <v>61</v>
      </c>
      <c r="B61" s="6">
        <v>527544</v>
      </c>
      <c r="C61" s="6">
        <v>172278</v>
      </c>
      <c r="D61" s="6">
        <v>172278</v>
      </c>
      <c r="E61" s="6">
        <v>0</v>
      </c>
      <c r="F61" s="1">
        <v>2025</v>
      </c>
      <c r="G61" s="1">
        <v>8</v>
      </c>
      <c r="H61" s="1">
        <v>2024</v>
      </c>
      <c r="I61" s="1">
        <v>3</v>
      </c>
    </row>
    <row r="62" spans="1:10" ht="15" x14ac:dyDescent="0.25">
      <c r="A62" s="5" t="s">
        <v>62</v>
      </c>
      <c r="B62" s="6">
        <v>1335247</v>
      </c>
      <c r="C62" s="6" t="s">
        <v>8</v>
      </c>
      <c r="D62" s="6" t="s">
        <v>8</v>
      </c>
      <c r="E62" s="6" t="s">
        <v>8</v>
      </c>
      <c r="F62" s="1">
        <v>2025</v>
      </c>
      <c r="G62" s="1">
        <v>8</v>
      </c>
      <c r="H62" s="1">
        <v>2024</v>
      </c>
      <c r="I62" s="1">
        <v>3</v>
      </c>
    </row>
    <row r="63" spans="1:10" ht="15" x14ac:dyDescent="0.25">
      <c r="A63" s="5" t="s">
        <v>63</v>
      </c>
      <c r="B63" s="6">
        <v>76321</v>
      </c>
      <c r="C63" s="6" t="s">
        <v>8</v>
      </c>
      <c r="D63" s="6" t="s">
        <v>8</v>
      </c>
      <c r="E63" s="6" t="s">
        <v>8</v>
      </c>
      <c r="F63" s="1">
        <v>2025</v>
      </c>
      <c r="G63" s="1">
        <v>8</v>
      </c>
      <c r="H63" s="1">
        <v>2024</v>
      </c>
      <c r="I63" s="1">
        <v>3</v>
      </c>
    </row>
    <row r="64" spans="1:10" ht="15" x14ac:dyDescent="0.25">
      <c r="A64" s="7" t="s">
        <v>64</v>
      </c>
      <c r="B64" s="8">
        <f>SUM(B8:B63)</f>
        <v>88428995</v>
      </c>
      <c r="C64" s="8">
        <f>SUM(C8:C63)</f>
        <v>22045329</v>
      </c>
      <c r="D64" s="8">
        <f>SUM(D8:D63)</f>
        <v>17497534</v>
      </c>
      <c r="E64" s="8">
        <f>SUM(E8:E63)</f>
        <v>4547795</v>
      </c>
      <c r="F64" s="1">
        <v>2025</v>
      </c>
      <c r="G64" s="1">
        <v>8</v>
      </c>
      <c r="H64" s="1">
        <v>2024</v>
      </c>
      <c r="I64" s="1">
        <v>3</v>
      </c>
    </row>
  </sheetData>
  <conditionalFormatting sqref="A8:E64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8, 2025 7:09 AM&amp;R&amp;"-,Regular"&amp;7Page : &amp;"-,Regular"&amp;7&amp;P&amp;"-,Regular"&amp;7 of &amp;"-,Regular"&amp;7&amp;N</oddFooter>
    <evenFooter>&amp;L&amp;"-,Regular"&amp;7Created On: Friday, August 8, 2025 7:09 AM&amp;R&amp;"-,Regular"&amp;7Page : &amp;"-,Regular"&amp;7&amp;P&amp;"-,Regular"&amp;7 of &amp;"-,Regular"&amp;7&amp;N</evenFooter>
    <firstFooter>&amp;L&amp;"-,Regular"&amp;7Created On: Friday, August 8, 2025 7:09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1F82-D69B-4D0C-A27B-5DF5CD973C24}">
  <sheetPr>
    <pageSetUpPr fitToPage="1"/>
  </sheetPr>
  <dimension ref="A1:E89"/>
  <sheetViews>
    <sheetView workbookViewId="0">
      <pane ySplit="7" topLeftCell="A8" activePane="bottomLeft" state="frozenSplit"/>
      <selection activeCell="H2" sqref="H2"/>
      <selection pane="bottomLeft" sqref="A1:XFD6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215</v>
      </c>
      <c r="B2" s="2"/>
      <c r="C2" s="2"/>
      <c r="D2" s="2"/>
      <c r="E2" s="2"/>
    </row>
    <row r="3" spans="1:5" ht="15" x14ac:dyDescent="0.25">
      <c r="A3" s="2" t="s">
        <v>214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1146080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243969</v>
      </c>
      <c r="C9" s="6">
        <v>72596</v>
      </c>
      <c r="D9" s="6">
        <v>72592</v>
      </c>
      <c r="E9" s="6">
        <v>4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2169300</v>
      </c>
      <c r="C11" s="6">
        <v>638299</v>
      </c>
      <c r="D11" s="6">
        <v>125964</v>
      </c>
      <c r="E11" s="6">
        <v>512335</v>
      </c>
    </row>
    <row r="12" spans="1:5" ht="15" x14ac:dyDescent="0.25">
      <c r="A12" s="5" t="s">
        <v>12</v>
      </c>
      <c r="B12" s="6">
        <v>810936</v>
      </c>
      <c r="C12" s="6">
        <v>245527</v>
      </c>
      <c r="D12" s="6">
        <v>238240</v>
      </c>
      <c r="E12" s="6">
        <v>7287</v>
      </c>
    </row>
    <row r="13" spans="1:5" ht="15" x14ac:dyDescent="0.25">
      <c r="A13" s="5" t="s">
        <v>13</v>
      </c>
      <c r="B13" s="6">
        <v>14773372</v>
      </c>
      <c r="C13" s="6">
        <v>5069701</v>
      </c>
      <c r="D13" s="6">
        <v>5044167</v>
      </c>
      <c r="E13" s="6">
        <v>25534</v>
      </c>
    </row>
    <row r="14" spans="1:5" ht="15" x14ac:dyDescent="0.25">
      <c r="A14" s="5" t="s">
        <v>14</v>
      </c>
      <c r="B14" s="6">
        <v>1172713</v>
      </c>
      <c r="C14" s="6">
        <v>367008</v>
      </c>
      <c r="D14" s="6">
        <v>360581</v>
      </c>
      <c r="E14" s="6">
        <v>6427</v>
      </c>
    </row>
    <row r="15" spans="1:5" ht="15" x14ac:dyDescent="0.25">
      <c r="A15" s="5" t="s">
        <v>15</v>
      </c>
      <c r="B15" s="6">
        <v>1098981</v>
      </c>
      <c r="C15" s="6">
        <v>327571</v>
      </c>
      <c r="D15" s="6">
        <v>299031</v>
      </c>
      <c r="E15" s="6">
        <v>28540</v>
      </c>
    </row>
    <row r="16" spans="1:5" ht="15" x14ac:dyDescent="0.25">
      <c r="A16" s="5" t="s">
        <v>16</v>
      </c>
      <c r="B16" s="6">
        <v>254233</v>
      </c>
      <c r="C16" s="6">
        <v>77143</v>
      </c>
      <c r="D16" s="6">
        <v>11310</v>
      </c>
      <c r="E16" s="6">
        <v>65833</v>
      </c>
    </row>
    <row r="17" spans="1:5" ht="15" x14ac:dyDescent="0.25">
      <c r="A17" s="5" t="s">
        <v>17</v>
      </c>
      <c r="B17" s="6">
        <v>270086</v>
      </c>
      <c r="C17" s="6">
        <v>125937</v>
      </c>
      <c r="D17" s="6">
        <v>81635</v>
      </c>
      <c r="E17" s="6">
        <v>44302</v>
      </c>
    </row>
    <row r="18" spans="1:5" ht="15" x14ac:dyDescent="0.25">
      <c r="A18" s="5" t="s">
        <v>18</v>
      </c>
      <c r="B18" s="6">
        <v>4333838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2197444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41381</v>
      </c>
      <c r="C20" s="6">
        <v>5888</v>
      </c>
      <c r="D20" s="6" t="s">
        <v>8</v>
      </c>
      <c r="E20" s="6">
        <v>5888</v>
      </c>
    </row>
    <row r="21" spans="1:5" ht="15" x14ac:dyDescent="0.25">
      <c r="A21" s="5" t="s">
        <v>21</v>
      </c>
      <c r="B21" s="6">
        <v>471147</v>
      </c>
      <c r="C21" s="6">
        <v>173441</v>
      </c>
      <c r="D21" s="6">
        <v>26896</v>
      </c>
      <c r="E21" s="6">
        <v>146545</v>
      </c>
    </row>
    <row r="22" spans="1:5" ht="15" x14ac:dyDescent="0.25">
      <c r="A22" s="5" t="s">
        <v>22</v>
      </c>
      <c r="B22" s="6">
        <v>363886</v>
      </c>
      <c r="C22" s="6">
        <v>97663</v>
      </c>
      <c r="D22" s="6">
        <v>97663</v>
      </c>
      <c r="E22" s="6">
        <v>0</v>
      </c>
    </row>
    <row r="23" spans="1:5" ht="15" x14ac:dyDescent="0.25">
      <c r="A23" s="5" t="s">
        <v>23</v>
      </c>
      <c r="B23" s="6">
        <v>3113976</v>
      </c>
      <c r="C23" s="6">
        <v>900853</v>
      </c>
      <c r="D23" s="6">
        <v>813658</v>
      </c>
      <c r="E23" s="6">
        <v>87195</v>
      </c>
    </row>
    <row r="24" spans="1:5" ht="15" x14ac:dyDescent="0.25">
      <c r="A24" s="5" t="s">
        <v>24</v>
      </c>
      <c r="B24" s="6">
        <v>1884551</v>
      </c>
      <c r="C24" s="6">
        <v>576508</v>
      </c>
      <c r="D24" s="6">
        <v>576508</v>
      </c>
      <c r="E24" s="6">
        <v>0</v>
      </c>
    </row>
    <row r="25" spans="1:5" ht="15" x14ac:dyDescent="0.25">
      <c r="A25" s="5" t="s">
        <v>25</v>
      </c>
      <c r="B25" s="6">
        <v>607583</v>
      </c>
      <c r="C25" s="6">
        <v>184382</v>
      </c>
      <c r="D25" s="6">
        <v>179886</v>
      </c>
      <c r="E25" s="6">
        <v>4496</v>
      </c>
    </row>
    <row r="26" spans="1:5" ht="15" x14ac:dyDescent="0.25">
      <c r="A26" s="5" t="s">
        <v>26</v>
      </c>
      <c r="B26" s="6">
        <v>409386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1476761</v>
      </c>
      <c r="C27" s="6">
        <v>549113</v>
      </c>
      <c r="D27" s="6">
        <v>549113</v>
      </c>
      <c r="E27" s="6">
        <v>0</v>
      </c>
    </row>
    <row r="28" spans="1:5" ht="15" x14ac:dyDescent="0.25">
      <c r="A28" s="5" t="s">
        <v>28</v>
      </c>
      <c r="B28" s="6">
        <v>1980245</v>
      </c>
      <c r="C28" s="6">
        <v>879422</v>
      </c>
      <c r="D28" s="6">
        <v>621585</v>
      </c>
      <c r="E28" s="6">
        <v>257837</v>
      </c>
    </row>
    <row r="29" spans="1:5" ht="15" x14ac:dyDescent="0.25">
      <c r="A29" s="5" t="s">
        <v>29</v>
      </c>
      <c r="B29" s="6">
        <v>396699</v>
      </c>
      <c r="C29" s="6">
        <v>112817</v>
      </c>
      <c r="D29" s="6">
        <v>88835</v>
      </c>
      <c r="E29" s="6">
        <v>23982</v>
      </c>
    </row>
    <row r="30" spans="1:5" ht="15" x14ac:dyDescent="0.25">
      <c r="A30" s="5" t="s">
        <v>30</v>
      </c>
      <c r="B30" s="6">
        <v>1501861</v>
      </c>
      <c r="C30" s="6">
        <v>429818</v>
      </c>
      <c r="D30" s="6">
        <v>429818</v>
      </c>
      <c r="E30" s="6">
        <v>0</v>
      </c>
    </row>
    <row r="31" spans="1:5" ht="15" x14ac:dyDescent="0.25">
      <c r="A31" s="5" t="s">
        <v>31</v>
      </c>
      <c r="B31" s="6">
        <v>2008465</v>
      </c>
      <c r="C31" s="6">
        <v>402925</v>
      </c>
      <c r="D31" s="6">
        <v>0</v>
      </c>
      <c r="E31" s="6">
        <v>402925</v>
      </c>
    </row>
    <row r="32" spans="1:5" ht="15" x14ac:dyDescent="0.25">
      <c r="A32" s="5" t="s">
        <v>32</v>
      </c>
      <c r="B32" s="6">
        <v>2532903</v>
      </c>
      <c r="C32" s="6">
        <v>818909</v>
      </c>
      <c r="D32" s="6">
        <v>760836</v>
      </c>
      <c r="E32" s="6">
        <v>58073</v>
      </c>
    </row>
    <row r="33" spans="1:5" ht="15" x14ac:dyDescent="0.25">
      <c r="A33" s="5" t="s">
        <v>33</v>
      </c>
      <c r="B33" s="6">
        <v>1217719</v>
      </c>
      <c r="C33" s="6">
        <v>238079</v>
      </c>
      <c r="D33" s="6">
        <v>238079</v>
      </c>
      <c r="E33" s="6">
        <v>0</v>
      </c>
    </row>
    <row r="34" spans="1:5" ht="15" x14ac:dyDescent="0.25">
      <c r="A34" s="5" t="s">
        <v>34</v>
      </c>
      <c r="B34" s="6">
        <v>703381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1279065</v>
      </c>
      <c r="C35" s="6">
        <v>333801</v>
      </c>
      <c r="D35" s="6">
        <v>333801</v>
      </c>
      <c r="E35" s="6">
        <v>0</v>
      </c>
    </row>
    <row r="36" spans="1:5" ht="15" x14ac:dyDescent="0.25">
      <c r="A36" s="5" t="s">
        <v>36</v>
      </c>
      <c r="B36" s="6">
        <v>231324</v>
      </c>
      <c r="C36" s="6">
        <v>84363</v>
      </c>
      <c r="D36" s="6">
        <v>84363</v>
      </c>
      <c r="E36" s="6">
        <v>0</v>
      </c>
    </row>
    <row r="37" spans="1:5" ht="15" x14ac:dyDescent="0.25">
      <c r="A37" s="5" t="s">
        <v>37</v>
      </c>
      <c r="B37" s="6">
        <v>21317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354897</v>
      </c>
      <c r="C38" s="6">
        <v>74550</v>
      </c>
      <c r="D38" s="6">
        <v>72828</v>
      </c>
      <c r="E38" s="6">
        <v>1722</v>
      </c>
    </row>
    <row r="39" spans="1:5" ht="15" x14ac:dyDescent="0.25">
      <c r="A39" s="5" t="s">
        <v>39</v>
      </c>
      <c r="B39" s="6">
        <v>757694</v>
      </c>
      <c r="C39" s="6">
        <v>329036</v>
      </c>
      <c r="D39" s="6">
        <v>329036</v>
      </c>
      <c r="E39" s="6">
        <v>0</v>
      </c>
    </row>
    <row r="40" spans="1:5" ht="15" x14ac:dyDescent="0.25">
      <c r="A40" s="5" t="s">
        <v>40</v>
      </c>
      <c r="B40" s="6">
        <v>181665</v>
      </c>
      <c r="C40" s="6">
        <v>61412</v>
      </c>
      <c r="D40" s="6">
        <v>60732</v>
      </c>
      <c r="E40" s="6">
        <v>680</v>
      </c>
    </row>
    <row r="41" spans="1:5" ht="15" x14ac:dyDescent="0.25">
      <c r="A41" s="5" t="s">
        <v>41</v>
      </c>
      <c r="B41" s="6">
        <v>1845364</v>
      </c>
      <c r="C41" s="6">
        <v>634335</v>
      </c>
      <c r="D41" s="6">
        <v>634335</v>
      </c>
      <c r="E41" s="6">
        <v>0</v>
      </c>
    </row>
    <row r="42" spans="1:5" ht="15" x14ac:dyDescent="0.25">
      <c r="A42" s="5" t="s">
        <v>42</v>
      </c>
      <c r="B42" s="6">
        <v>884907</v>
      </c>
      <c r="C42" s="6">
        <v>291732</v>
      </c>
      <c r="D42" s="6">
        <v>291732</v>
      </c>
      <c r="E42" s="6">
        <v>0</v>
      </c>
    </row>
    <row r="43" spans="1:5" ht="15" x14ac:dyDescent="0.25">
      <c r="A43" s="5" t="s">
        <v>43</v>
      </c>
      <c r="B43" s="6">
        <v>7210916</v>
      </c>
      <c r="C43" s="6">
        <v>2230450</v>
      </c>
      <c r="D43" s="6">
        <v>353417</v>
      </c>
      <c r="E43" s="6">
        <v>1877033</v>
      </c>
    </row>
    <row r="44" spans="1:5" ht="15" x14ac:dyDescent="0.25">
      <c r="A44" s="5" t="s">
        <v>44</v>
      </c>
      <c r="B44" s="6">
        <v>3040153</v>
      </c>
      <c r="C44" s="6">
        <v>445048</v>
      </c>
      <c r="D44" s="6">
        <v>445048</v>
      </c>
      <c r="E44" s="6">
        <v>0</v>
      </c>
    </row>
    <row r="45" spans="1:5" ht="15" x14ac:dyDescent="0.25">
      <c r="A45" s="5" t="s">
        <v>45</v>
      </c>
      <c r="B45" s="6">
        <v>106346</v>
      </c>
      <c r="C45" s="6">
        <v>25216</v>
      </c>
      <c r="D45" s="6">
        <v>23945</v>
      </c>
      <c r="E45" s="6">
        <v>1271</v>
      </c>
    </row>
    <row r="46" spans="1:5" ht="15" x14ac:dyDescent="0.25">
      <c r="A46" s="5" t="s">
        <v>46</v>
      </c>
      <c r="B46" s="6">
        <v>3175363</v>
      </c>
      <c r="C46" s="6">
        <v>745930</v>
      </c>
      <c r="D46" s="6">
        <v>745692</v>
      </c>
      <c r="E46" s="6">
        <v>238</v>
      </c>
    </row>
    <row r="47" spans="1:5" ht="15" x14ac:dyDescent="0.25">
      <c r="A47" s="5" t="s">
        <v>47</v>
      </c>
      <c r="B47" s="6">
        <v>977520</v>
      </c>
      <c r="C47" s="6">
        <v>247414</v>
      </c>
      <c r="D47" s="6">
        <v>247414</v>
      </c>
      <c r="E47" s="6">
        <v>0</v>
      </c>
    </row>
    <row r="48" spans="1:5" ht="15" x14ac:dyDescent="0.25">
      <c r="A48" s="5" t="s">
        <v>48</v>
      </c>
      <c r="B48" s="6">
        <v>1292011</v>
      </c>
      <c r="C48" s="6">
        <v>660119</v>
      </c>
      <c r="D48" s="6">
        <v>550241</v>
      </c>
      <c r="E48" s="6">
        <v>109878</v>
      </c>
    </row>
    <row r="49" spans="1:5" ht="15" x14ac:dyDescent="0.25">
      <c r="A49" s="5" t="s">
        <v>49</v>
      </c>
      <c r="B49" s="6">
        <v>3083109</v>
      </c>
      <c r="C49" s="6">
        <v>887095</v>
      </c>
      <c r="D49" s="6">
        <v>834047</v>
      </c>
      <c r="E49" s="6">
        <v>53048</v>
      </c>
    </row>
    <row r="50" spans="1:5" ht="15" x14ac:dyDescent="0.25">
      <c r="A50" s="5" t="s">
        <v>50</v>
      </c>
      <c r="B50" s="6">
        <v>1420661</v>
      </c>
      <c r="C50" s="6">
        <v>663377</v>
      </c>
      <c r="D50" s="6" t="s">
        <v>8</v>
      </c>
      <c r="E50" s="6">
        <v>663377</v>
      </c>
    </row>
    <row r="51" spans="1:5" ht="15" x14ac:dyDescent="0.25">
      <c r="A51" s="5" t="s">
        <v>51</v>
      </c>
      <c r="B51" s="6">
        <v>320876</v>
      </c>
      <c r="C51" s="6">
        <v>80651</v>
      </c>
      <c r="D51" s="6">
        <v>80651</v>
      </c>
      <c r="E51" s="6">
        <v>0</v>
      </c>
    </row>
    <row r="52" spans="1:5" ht="15" x14ac:dyDescent="0.25">
      <c r="A52" s="5" t="s">
        <v>52</v>
      </c>
      <c r="B52" s="6">
        <v>1447312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120980</v>
      </c>
      <c r="C53" s="6">
        <v>22600</v>
      </c>
      <c r="D53" s="6">
        <v>22600</v>
      </c>
      <c r="E53" s="6">
        <v>0</v>
      </c>
    </row>
    <row r="54" spans="1:5" ht="15" x14ac:dyDescent="0.25">
      <c r="A54" s="5" t="s">
        <v>54</v>
      </c>
      <c r="B54" s="6">
        <v>1615919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4496887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342298</v>
      </c>
      <c r="C56" s="6">
        <v>80035</v>
      </c>
      <c r="D56" s="6">
        <v>78996</v>
      </c>
      <c r="E56" s="6">
        <v>1039</v>
      </c>
    </row>
    <row r="57" spans="1:5" ht="15" x14ac:dyDescent="0.25">
      <c r="A57" s="5" t="s">
        <v>57</v>
      </c>
      <c r="B57" s="6">
        <v>174779</v>
      </c>
      <c r="C57" s="6">
        <v>68970</v>
      </c>
      <c r="D57" s="6">
        <v>0</v>
      </c>
      <c r="E57" s="6">
        <v>68970</v>
      </c>
    </row>
    <row r="58" spans="1:5" ht="15" x14ac:dyDescent="0.25">
      <c r="A58" s="5" t="s">
        <v>58</v>
      </c>
      <c r="B58" s="6">
        <v>22247</v>
      </c>
      <c r="C58" s="6">
        <v>9052</v>
      </c>
      <c r="D58" s="6" t="s">
        <v>8</v>
      </c>
      <c r="E58" s="6">
        <v>9052</v>
      </c>
    </row>
    <row r="59" spans="1:5" ht="15" x14ac:dyDescent="0.25">
      <c r="A59" s="5" t="s">
        <v>59</v>
      </c>
      <c r="B59" s="6">
        <v>1887684</v>
      </c>
      <c r="C59" s="6">
        <v>711772</v>
      </c>
      <c r="D59" s="6">
        <v>711772</v>
      </c>
      <c r="E59" s="6">
        <v>0</v>
      </c>
    </row>
    <row r="60" spans="1:5" ht="15" x14ac:dyDescent="0.25">
      <c r="A60" s="5" t="s">
        <v>60</v>
      </c>
      <c r="B60" s="6">
        <v>1892676</v>
      </c>
      <c r="C60" s="6">
        <v>638012</v>
      </c>
      <c r="D60" s="6">
        <v>615187</v>
      </c>
      <c r="E60" s="6">
        <v>22825</v>
      </c>
    </row>
    <row r="61" spans="1:5" ht="15" x14ac:dyDescent="0.25">
      <c r="A61" s="5" t="s">
        <v>61</v>
      </c>
      <c r="B61" s="6">
        <v>524457</v>
      </c>
      <c r="C61" s="6">
        <v>171420</v>
      </c>
      <c r="D61" s="6">
        <v>171420</v>
      </c>
      <c r="E61" s="6">
        <v>0</v>
      </c>
    </row>
    <row r="62" spans="1:5" ht="15" x14ac:dyDescent="0.25">
      <c r="A62" s="5" t="s">
        <v>62</v>
      </c>
      <c r="B62" s="6">
        <v>1310295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70451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87303815</v>
      </c>
      <c r="C64" s="8">
        <f>SUM(C8:C63)</f>
        <v>21789990</v>
      </c>
      <c r="D64" s="8">
        <f>SUM(D8:D63)</f>
        <v>17303654</v>
      </c>
      <c r="E64" s="8">
        <f>SUM(E8:E63)</f>
        <v>4486336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November 20, 2025 9:49 AM&amp;R&amp;"-,Regular"&amp;7Page : &amp;"-,Regular"&amp;7&amp;P&amp;"-,Regular"&amp;7 of &amp;"-,Regular"&amp;7&amp;N</oddFooter>
    <evenFooter>&amp;L&amp;"-,Regular"&amp;7Created On: Thursday, November 20, 2025 9:49 AM&amp;R&amp;"-,Regular"&amp;7Page : &amp;"-,Regular"&amp;7&amp;P&amp;"-,Regular"&amp;7 of &amp;"-,Regular"&amp;7&amp;N</evenFooter>
    <firstFooter>&amp;L&amp;"-,Regular"&amp;7Created On: Thursday, November 20, 2025 9:49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42B5-EE8F-4532-8932-40E9740909A9}">
  <sheetPr>
    <pageSetUpPr fitToPage="1"/>
  </sheetPr>
  <dimension ref="A1:E89"/>
  <sheetViews>
    <sheetView workbookViewId="0">
      <pane ySplit="7" topLeftCell="A8" activePane="bottomLeft" state="frozenSplit"/>
      <selection activeCell="H2" sqref="H2"/>
      <selection pane="bottomLeft" activeCell="H2" sqref="H2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216</v>
      </c>
      <c r="B2" s="2"/>
      <c r="C2" s="2"/>
      <c r="D2" s="2"/>
      <c r="E2" s="2"/>
    </row>
    <row r="3" spans="1:5" ht="15" x14ac:dyDescent="0.25">
      <c r="A3" s="2" t="s">
        <v>214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1123940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244370</v>
      </c>
      <c r="C9" s="6">
        <v>73138</v>
      </c>
      <c r="D9" s="6">
        <v>73134</v>
      </c>
      <c r="E9" s="6">
        <v>4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2170027</v>
      </c>
      <c r="C11" s="6">
        <v>635786</v>
      </c>
      <c r="D11" s="6">
        <v>125705</v>
      </c>
      <c r="E11" s="6">
        <v>510081</v>
      </c>
    </row>
    <row r="12" spans="1:5" ht="15" x14ac:dyDescent="0.25">
      <c r="A12" s="5" t="s">
        <v>12</v>
      </c>
      <c r="B12" s="6">
        <v>813326</v>
      </c>
      <c r="C12" s="6">
        <v>244180</v>
      </c>
      <c r="D12" s="6">
        <v>236574</v>
      </c>
      <c r="E12" s="6">
        <v>7606</v>
      </c>
    </row>
    <row r="13" spans="1:5" ht="15" x14ac:dyDescent="0.25">
      <c r="A13" s="5" t="s">
        <v>13</v>
      </c>
      <c r="B13" s="6">
        <v>14669235</v>
      </c>
      <c r="C13" s="6">
        <v>5025131</v>
      </c>
      <c r="D13" s="6">
        <v>5000384</v>
      </c>
      <c r="E13" s="6">
        <v>24747</v>
      </c>
    </row>
    <row r="14" spans="1:5" ht="15" x14ac:dyDescent="0.25">
      <c r="A14" s="5" t="s">
        <v>14</v>
      </c>
      <c r="B14" s="6">
        <v>1138346</v>
      </c>
      <c r="C14" s="6">
        <v>349632</v>
      </c>
      <c r="D14" s="6">
        <v>343358</v>
      </c>
      <c r="E14" s="6">
        <v>6274</v>
      </c>
    </row>
    <row r="15" spans="1:5" ht="15" x14ac:dyDescent="0.25">
      <c r="A15" s="5" t="s">
        <v>15</v>
      </c>
      <c r="B15" s="6">
        <v>1094390</v>
      </c>
      <c r="C15" s="6">
        <v>325045</v>
      </c>
      <c r="D15" s="6">
        <v>296972</v>
      </c>
      <c r="E15" s="6">
        <v>28073</v>
      </c>
    </row>
    <row r="16" spans="1:5" ht="15" x14ac:dyDescent="0.25">
      <c r="A16" s="5" t="s">
        <v>16</v>
      </c>
      <c r="B16" s="6">
        <v>249889</v>
      </c>
      <c r="C16" s="6">
        <v>74593</v>
      </c>
      <c r="D16" s="6">
        <v>10900</v>
      </c>
      <c r="E16" s="6">
        <v>63693</v>
      </c>
    </row>
    <row r="17" spans="1:5" ht="15" x14ac:dyDescent="0.25">
      <c r="A17" s="5" t="s">
        <v>17</v>
      </c>
      <c r="B17" s="6">
        <v>267686</v>
      </c>
      <c r="C17" s="6">
        <v>124315</v>
      </c>
      <c r="D17" s="6">
        <v>80156</v>
      </c>
      <c r="E17" s="6">
        <v>44159</v>
      </c>
    </row>
    <row r="18" spans="1:5" ht="15" x14ac:dyDescent="0.25">
      <c r="A18" s="5" t="s">
        <v>18</v>
      </c>
      <c r="B18" s="6">
        <v>4303812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2211001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40606</v>
      </c>
      <c r="C20" s="6">
        <v>5759</v>
      </c>
      <c r="D20" s="6" t="s">
        <v>8</v>
      </c>
      <c r="E20" s="6">
        <v>5759</v>
      </c>
    </row>
    <row r="21" spans="1:5" ht="15" x14ac:dyDescent="0.25">
      <c r="A21" s="5" t="s">
        <v>21</v>
      </c>
      <c r="B21" s="6">
        <v>463740</v>
      </c>
      <c r="C21" s="6">
        <v>167950</v>
      </c>
      <c r="D21" s="6">
        <v>25357</v>
      </c>
      <c r="E21" s="6">
        <v>142593</v>
      </c>
    </row>
    <row r="22" spans="1:5" ht="15" x14ac:dyDescent="0.25">
      <c r="A22" s="5" t="s">
        <v>22</v>
      </c>
      <c r="B22" s="6">
        <v>361105</v>
      </c>
      <c r="C22" s="6">
        <v>96401</v>
      </c>
      <c r="D22" s="6">
        <v>96401</v>
      </c>
      <c r="E22" s="6">
        <v>0</v>
      </c>
    </row>
    <row r="23" spans="1:5" ht="15" x14ac:dyDescent="0.25">
      <c r="A23" s="5" t="s">
        <v>23</v>
      </c>
      <c r="B23" s="6">
        <v>3064628</v>
      </c>
      <c r="C23" s="6">
        <v>883063</v>
      </c>
      <c r="D23" s="6">
        <v>796199</v>
      </c>
      <c r="E23" s="6">
        <v>86864</v>
      </c>
    </row>
    <row r="24" spans="1:5" ht="15" x14ac:dyDescent="0.25">
      <c r="A24" s="5" t="s">
        <v>24</v>
      </c>
      <c r="B24" s="6">
        <v>1862674</v>
      </c>
      <c r="C24" s="6">
        <v>574278</v>
      </c>
      <c r="D24" s="6">
        <v>574278</v>
      </c>
      <c r="E24" s="6">
        <v>0</v>
      </c>
    </row>
    <row r="25" spans="1:5" ht="15" x14ac:dyDescent="0.25">
      <c r="A25" s="5" t="s">
        <v>25</v>
      </c>
      <c r="B25" s="6">
        <v>604297</v>
      </c>
      <c r="C25" s="6">
        <v>183109</v>
      </c>
      <c r="D25" s="6">
        <v>179663</v>
      </c>
      <c r="E25" s="6">
        <v>3446</v>
      </c>
    </row>
    <row r="26" spans="1:5" ht="15" x14ac:dyDescent="0.25">
      <c r="A26" s="5" t="s">
        <v>26</v>
      </c>
      <c r="B26" s="6">
        <v>400909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1447545</v>
      </c>
      <c r="C27" s="6">
        <v>525867</v>
      </c>
      <c r="D27" s="6">
        <v>525867</v>
      </c>
      <c r="E27" s="6">
        <v>0</v>
      </c>
    </row>
    <row r="28" spans="1:5" ht="15" x14ac:dyDescent="0.25">
      <c r="A28" s="5" t="s">
        <v>28</v>
      </c>
      <c r="B28" s="6">
        <v>1943876</v>
      </c>
      <c r="C28" s="6">
        <v>852545</v>
      </c>
      <c r="D28" s="6">
        <v>599370</v>
      </c>
      <c r="E28" s="6">
        <v>253175</v>
      </c>
    </row>
    <row r="29" spans="1:5" ht="15" x14ac:dyDescent="0.25">
      <c r="A29" s="5" t="s">
        <v>29</v>
      </c>
      <c r="B29" s="6">
        <v>396605</v>
      </c>
      <c r="C29" s="6">
        <v>112662</v>
      </c>
      <c r="D29" s="6">
        <v>88442</v>
      </c>
      <c r="E29" s="6">
        <v>24220</v>
      </c>
    </row>
    <row r="30" spans="1:5" ht="15" x14ac:dyDescent="0.25">
      <c r="A30" s="5" t="s">
        <v>30</v>
      </c>
      <c r="B30" s="6">
        <v>1493067</v>
      </c>
      <c r="C30" s="6">
        <v>427682</v>
      </c>
      <c r="D30" s="6">
        <v>427682</v>
      </c>
      <c r="E30" s="6">
        <v>0</v>
      </c>
    </row>
    <row r="31" spans="1:5" ht="15" x14ac:dyDescent="0.25">
      <c r="A31" s="5" t="s">
        <v>31</v>
      </c>
      <c r="B31" s="6">
        <v>1990943</v>
      </c>
      <c r="C31" s="6">
        <v>394937</v>
      </c>
      <c r="D31" s="6">
        <v>0</v>
      </c>
      <c r="E31" s="6">
        <v>394937</v>
      </c>
    </row>
    <row r="32" spans="1:5" ht="15" x14ac:dyDescent="0.25">
      <c r="A32" s="5" t="s">
        <v>32</v>
      </c>
      <c r="B32" s="6">
        <v>2464834</v>
      </c>
      <c r="C32" s="6">
        <v>779747</v>
      </c>
      <c r="D32" s="6">
        <v>723597</v>
      </c>
      <c r="E32" s="6">
        <v>56150</v>
      </c>
    </row>
    <row r="33" spans="1:5" ht="15" x14ac:dyDescent="0.25">
      <c r="A33" s="5" t="s">
        <v>33</v>
      </c>
      <c r="B33" s="6">
        <v>1198378</v>
      </c>
      <c r="C33" s="6">
        <v>229930</v>
      </c>
      <c r="D33" s="6">
        <v>229930</v>
      </c>
      <c r="E33" s="6">
        <v>0</v>
      </c>
    </row>
    <row r="34" spans="1:5" ht="15" x14ac:dyDescent="0.25">
      <c r="A34" s="5" t="s">
        <v>34</v>
      </c>
      <c r="B34" s="6">
        <v>684139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1259878</v>
      </c>
      <c r="C35" s="6">
        <v>332838</v>
      </c>
      <c r="D35" s="6">
        <v>332838</v>
      </c>
      <c r="E35" s="6">
        <v>0</v>
      </c>
    </row>
    <row r="36" spans="1:5" ht="15" x14ac:dyDescent="0.25">
      <c r="A36" s="5" t="s">
        <v>36</v>
      </c>
      <c r="B36" s="6">
        <v>229499</v>
      </c>
      <c r="C36" s="6">
        <v>83875</v>
      </c>
      <c r="D36" s="6">
        <v>83875</v>
      </c>
      <c r="E36" s="6">
        <v>0</v>
      </c>
    </row>
    <row r="37" spans="1:5" ht="15" x14ac:dyDescent="0.25">
      <c r="A37" s="5" t="s">
        <v>37</v>
      </c>
      <c r="B37" s="6">
        <v>21293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351305</v>
      </c>
      <c r="C38" s="6">
        <v>73184</v>
      </c>
      <c r="D38" s="6">
        <v>71468</v>
      </c>
      <c r="E38" s="6">
        <v>1716</v>
      </c>
    </row>
    <row r="39" spans="1:5" ht="15" x14ac:dyDescent="0.25">
      <c r="A39" s="5" t="s">
        <v>39</v>
      </c>
      <c r="B39" s="6">
        <v>746345</v>
      </c>
      <c r="C39" s="6">
        <v>319870</v>
      </c>
      <c r="D39" s="6">
        <v>319870</v>
      </c>
      <c r="E39" s="6">
        <v>0</v>
      </c>
    </row>
    <row r="40" spans="1:5" ht="15" x14ac:dyDescent="0.25">
      <c r="A40" s="5" t="s">
        <v>40</v>
      </c>
      <c r="B40" s="6">
        <v>182189</v>
      </c>
      <c r="C40" s="6">
        <v>61411</v>
      </c>
      <c r="D40" s="6">
        <v>60693</v>
      </c>
      <c r="E40" s="6">
        <v>718</v>
      </c>
    </row>
    <row r="41" spans="1:5" ht="15" x14ac:dyDescent="0.25">
      <c r="A41" s="5" t="s">
        <v>41</v>
      </c>
      <c r="B41" s="6">
        <v>1813253</v>
      </c>
      <c r="C41" s="6">
        <v>620108</v>
      </c>
      <c r="D41" s="6">
        <v>620108</v>
      </c>
      <c r="E41" s="6">
        <v>0</v>
      </c>
    </row>
    <row r="42" spans="1:5" ht="15" x14ac:dyDescent="0.25">
      <c r="A42" s="5" t="s">
        <v>42</v>
      </c>
      <c r="B42" s="6">
        <v>882918</v>
      </c>
      <c r="C42" s="6">
        <v>291627</v>
      </c>
      <c r="D42" s="6">
        <v>291627</v>
      </c>
      <c r="E42" s="6">
        <v>0</v>
      </c>
    </row>
    <row r="43" spans="1:5" ht="15" x14ac:dyDescent="0.25">
      <c r="A43" s="5" t="s">
        <v>43</v>
      </c>
      <c r="B43" s="6">
        <v>7102755</v>
      </c>
      <c r="C43" s="6">
        <v>2172337</v>
      </c>
      <c r="D43" s="6">
        <v>339685</v>
      </c>
      <c r="E43" s="6">
        <v>1832652</v>
      </c>
    </row>
    <row r="44" spans="1:5" ht="15" x14ac:dyDescent="0.25">
      <c r="A44" s="5" t="s">
        <v>44</v>
      </c>
      <c r="B44" s="6">
        <v>3045234</v>
      </c>
      <c r="C44" s="6">
        <v>471022</v>
      </c>
      <c r="D44" s="6">
        <v>471022</v>
      </c>
      <c r="E44" s="6">
        <v>0</v>
      </c>
    </row>
    <row r="45" spans="1:5" ht="15" x14ac:dyDescent="0.25">
      <c r="A45" s="5" t="s">
        <v>45</v>
      </c>
      <c r="B45" s="6">
        <v>105259</v>
      </c>
      <c r="C45" s="6">
        <v>24529</v>
      </c>
      <c r="D45" s="6">
        <v>23267</v>
      </c>
      <c r="E45" s="6">
        <v>1262</v>
      </c>
    </row>
    <row r="46" spans="1:5" ht="15" x14ac:dyDescent="0.25">
      <c r="A46" s="5" t="s">
        <v>46</v>
      </c>
      <c r="B46" s="6">
        <v>3146379</v>
      </c>
      <c r="C46" s="6">
        <v>741468</v>
      </c>
      <c r="D46" s="6">
        <v>741243</v>
      </c>
      <c r="E46" s="6">
        <v>225</v>
      </c>
    </row>
    <row r="47" spans="1:5" ht="15" x14ac:dyDescent="0.25">
      <c r="A47" s="5" t="s">
        <v>47</v>
      </c>
      <c r="B47" s="6">
        <v>987509</v>
      </c>
      <c r="C47" s="6">
        <v>250522</v>
      </c>
      <c r="D47" s="6">
        <v>250522</v>
      </c>
      <c r="E47" s="6">
        <v>0</v>
      </c>
    </row>
    <row r="48" spans="1:5" ht="15" x14ac:dyDescent="0.25">
      <c r="A48" s="5" t="s">
        <v>48</v>
      </c>
      <c r="B48" s="6">
        <v>1280010</v>
      </c>
      <c r="C48" s="6">
        <v>650612</v>
      </c>
      <c r="D48" s="6">
        <v>542035</v>
      </c>
      <c r="E48" s="6">
        <v>108577</v>
      </c>
    </row>
    <row r="49" spans="1:5" ht="15" x14ac:dyDescent="0.25">
      <c r="A49" s="5" t="s">
        <v>49</v>
      </c>
      <c r="B49" s="6">
        <v>3023919</v>
      </c>
      <c r="C49" s="6">
        <v>853880</v>
      </c>
      <c r="D49" s="6">
        <v>802419</v>
      </c>
      <c r="E49" s="6">
        <v>51461</v>
      </c>
    </row>
    <row r="50" spans="1:5" ht="15" x14ac:dyDescent="0.25">
      <c r="A50" s="5" t="s">
        <v>50</v>
      </c>
      <c r="B50" s="6">
        <v>1414583</v>
      </c>
      <c r="C50" s="6">
        <v>653410</v>
      </c>
      <c r="D50" s="6" t="s">
        <v>8</v>
      </c>
      <c r="E50" s="6">
        <v>653410</v>
      </c>
    </row>
    <row r="51" spans="1:5" ht="15" x14ac:dyDescent="0.25">
      <c r="A51" s="5" t="s">
        <v>51</v>
      </c>
      <c r="B51" s="6">
        <v>312108</v>
      </c>
      <c r="C51" s="6">
        <v>79567</v>
      </c>
      <c r="D51" s="6">
        <v>79567</v>
      </c>
      <c r="E51" s="6">
        <v>0</v>
      </c>
    </row>
    <row r="52" spans="1:5" ht="15" x14ac:dyDescent="0.25">
      <c r="A52" s="5" t="s">
        <v>52</v>
      </c>
      <c r="B52" s="6">
        <v>1404686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122952</v>
      </c>
      <c r="C53" s="6">
        <v>23434</v>
      </c>
      <c r="D53" s="6">
        <v>23434</v>
      </c>
      <c r="E53" s="6">
        <v>0</v>
      </c>
    </row>
    <row r="54" spans="1:5" ht="15" x14ac:dyDescent="0.25">
      <c r="A54" s="5" t="s">
        <v>54</v>
      </c>
      <c r="B54" s="6">
        <v>1575425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4449339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342051</v>
      </c>
      <c r="C56" s="6">
        <v>79716</v>
      </c>
      <c r="D56" s="6">
        <v>78649</v>
      </c>
      <c r="E56" s="6">
        <v>1067</v>
      </c>
    </row>
    <row r="57" spans="1:5" ht="15" x14ac:dyDescent="0.25">
      <c r="A57" s="5" t="s">
        <v>57</v>
      </c>
      <c r="B57" s="6">
        <v>173521</v>
      </c>
      <c r="C57" s="6">
        <v>68045</v>
      </c>
      <c r="D57" s="6">
        <v>0</v>
      </c>
      <c r="E57" s="6">
        <v>68045</v>
      </c>
    </row>
    <row r="58" spans="1:5" ht="15" x14ac:dyDescent="0.25">
      <c r="A58" s="5" t="s">
        <v>58</v>
      </c>
      <c r="B58" s="6">
        <v>22180</v>
      </c>
      <c r="C58" s="6">
        <v>9008</v>
      </c>
      <c r="D58" s="6" t="s">
        <v>8</v>
      </c>
      <c r="E58" s="6">
        <v>9008</v>
      </c>
    </row>
    <row r="59" spans="1:5" ht="15" x14ac:dyDescent="0.25">
      <c r="A59" s="5" t="s">
        <v>59</v>
      </c>
      <c r="B59" s="6">
        <v>1852129</v>
      </c>
      <c r="C59" s="6">
        <v>688918</v>
      </c>
      <c r="D59" s="6">
        <v>688918</v>
      </c>
      <c r="E59" s="6">
        <v>0</v>
      </c>
    </row>
    <row r="60" spans="1:5" ht="15" x14ac:dyDescent="0.25">
      <c r="A60" s="5" t="s">
        <v>60</v>
      </c>
      <c r="B60" s="6">
        <v>1873071</v>
      </c>
      <c r="C60" s="6">
        <v>629906</v>
      </c>
      <c r="D60" s="6">
        <v>607845</v>
      </c>
      <c r="E60" s="6">
        <v>22061</v>
      </c>
    </row>
    <row r="61" spans="1:5" ht="15" x14ac:dyDescent="0.25">
      <c r="A61" s="5" t="s">
        <v>61</v>
      </c>
      <c r="B61" s="6">
        <v>522706</v>
      </c>
      <c r="C61" s="6">
        <v>171041</v>
      </c>
      <c r="D61" s="6">
        <v>171041</v>
      </c>
      <c r="E61" s="6">
        <v>0</v>
      </c>
    </row>
    <row r="62" spans="1:5" ht="15" x14ac:dyDescent="0.25">
      <c r="A62" s="5" t="s">
        <v>62</v>
      </c>
      <c r="B62" s="6">
        <v>1295056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70252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86344918</v>
      </c>
      <c r="C64" s="8">
        <f>SUM(C8:C63)</f>
        <v>21436078</v>
      </c>
      <c r="D64" s="8">
        <f>SUM(D8:D63)</f>
        <v>17034095</v>
      </c>
      <c r="E64" s="8">
        <f>SUM(E8:E63)</f>
        <v>4401983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November 20, 2025 9:49 AM&amp;R&amp;"-,Regular"&amp;7Page : &amp;"-,Regular"&amp;7&amp;P&amp;"-,Regular"&amp;7 of &amp;"-,Regular"&amp;7&amp;N</oddFooter>
    <evenFooter>&amp;L&amp;"-,Regular"&amp;7Created On: Thursday, November 20, 2025 9:49 AM&amp;R&amp;"-,Regular"&amp;7Page : &amp;"-,Regular"&amp;7&amp;P&amp;"-,Regular"&amp;7 of &amp;"-,Regular"&amp;7&amp;N</evenFooter>
    <firstFooter>&amp;L&amp;"-,Regular"&amp;7Created On: Thursday, November 20, 2025 9:49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29A2-5CCE-48E7-9DBF-2E7DEDA2E982}">
  <sheetPr>
    <pageSetUpPr fitToPage="1"/>
  </sheetPr>
  <dimension ref="A1:E89"/>
  <sheetViews>
    <sheetView workbookViewId="0">
      <pane ySplit="7" topLeftCell="A8" activePane="bottomLeft" state="frozenSplit"/>
      <selection activeCell="H2" sqref="H2"/>
      <selection pane="bottomLeft" activeCell="H2" sqref="H2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217</v>
      </c>
      <c r="B2" s="2"/>
      <c r="C2" s="2"/>
      <c r="D2" s="2"/>
      <c r="E2" s="2"/>
    </row>
    <row r="3" spans="1:5" ht="15" x14ac:dyDescent="0.25">
      <c r="A3" s="2" t="s">
        <v>214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1097436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244456</v>
      </c>
      <c r="C9" s="6">
        <v>73580</v>
      </c>
      <c r="D9" s="6">
        <v>73578</v>
      </c>
      <c r="E9" s="6">
        <v>2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2167329</v>
      </c>
      <c r="C11" s="6">
        <v>632509</v>
      </c>
      <c r="D11" s="6">
        <v>125321</v>
      </c>
      <c r="E11" s="6">
        <v>507188</v>
      </c>
    </row>
    <row r="12" spans="1:5" ht="15" x14ac:dyDescent="0.25">
      <c r="A12" s="5" t="s">
        <v>12</v>
      </c>
      <c r="B12" s="6">
        <v>812769</v>
      </c>
      <c r="C12" s="6">
        <v>242602</v>
      </c>
      <c r="D12" s="6">
        <v>234891</v>
      </c>
      <c r="E12" s="6">
        <v>7711</v>
      </c>
    </row>
    <row r="13" spans="1:5" ht="15" x14ac:dyDescent="0.25">
      <c r="A13" s="5" t="s">
        <v>13</v>
      </c>
      <c r="B13" s="6">
        <v>14478012</v>
      </c>
      <c r="C13" s="6">
        <v>4956615</v>
      </c>
      <c r="D13" s="6">
        <v>4932679</v>
      </c>
      <c r="E13" s="6">
        <v>23936</v>
      </c>
    </row>
    <row r="14" spans="1:5" ht="15" x14ac:dyDescent="0.25">
      <c r="A14" s="5" t="s">
        <v>14</v>
      </c>
      <c r="B14" s="6">
        <v>1142953</v>
      </c>
      <c r="C14" s="6">
        <v>350083</v>
      </c>
      <c r="D14" s="6">
        <v>344129</v>
      </c>
      <c r="E14" s="6">
        <v>5954</v>
      </c>
    </row>
    <row r="15" spans="1:5" ht="15" x14ac:dyDescent="0.25">
      <c r="A15" s="5" t="s">
        <v>15</v>
      </c>
      <c r="B15" s="6">
        <v>1085951</v>
      </c>
      <c r="C15" s="6">
        <v>322407</v>
      </c>
      <c r="D15" s="6">
        <v>294540</v>
      </c>
      <c r="E15" s="6">
        <v>27867</v>
      </c>
    </row>
    <row r="16" spans="1:5" ht="15" x14ac:dyDescent="0.25">
      <c r="A16" s="5" t="s">
        <v>16</v>
      </c>
      <c r="B16" s="6">
        <v>237013</v>
      </c>
      <c r="C16" s="6">
        <v>70019</v>
      </c>
      <c r="D16" s="6">
        <v>10051</v>
      </c>
      <c r="E16" s="6">
        <v>59968</v>
      </c>
    </row>
    <row r="17" spans="1:5" ht="15" x14ac:dyDescent="0.25">
      <c r="A17" s="5" t="s">
        <v>17</v>
      </c>
      <c r="B17" s="6">
        <v>264593</v>
      </c>
      <c r="C17" s="6">
        <v>121627</v>
      </c>
      <c r="D17" s="6">
        <v>77996</v>
      </c>
      <c r="E17" s="6">
        <v>43631</v>
      </c>
    </row>
    <row r="18" spans="1:5" ht="15" x14ac:dyDescent="0.25">
      <c r="A18" s="5" t="s">
        <v>18</v>
      </c>
      <c r="B18" s="6">
        <v>4343214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2240243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34824</v>
      </c>
      <c r="C20" s="6">
        <v>4314</v>
      </c>
      <c r="D20" s="6" t="s">
        <v>8</v>
      </c>
      <c r="E20" s="6">
        <v>4314</v>
      </c>
    </row>
    <row r="21" spans="1:5" ht="15" x14ac:dyDescent="0.25">
      <c r="A21" s="5" t="s">
        <v>21</v>
      </c>
      <c r="B21" s="6">
        <v>452038</v>
      </c>
      <c r="C21" s="6">
        <v>159810</v>
      </c>
      <c r="D21" s="6">
        <v>23590</v>
      </c>
      <c r="E21" s="6">
        <v>136220</v>
      </c>
    </row>
    <row r="22" spans="1:5" ht="15" x14ac:dyDescent="0.25">
      <c r="A22" s="5" t="s">
        <v>22</v>
      </c>
      <c r="B22" s="6">
        <v>354682</v>
      </c>
      <c r="C22" s="6">
        <v>93337</v>
      </c>
      <c r="D22" s="6">
        <v>93337</v>
      </c>
      <c r="E22" s="6">
        <v>0</v>
      </c>
    </row>
    <row r="23" spans="1:5" ht="15" x14ac:dyDescent="0.25">
      <c r="A23" s="5" t="s">
        <v>23</v>
      </c>
      <c r="B23" s="6">
        <v>3015080</v>
      </c>
      <c r="C23" s="6">
        <v>864819</v>
      </c>
      <c r="D23" s="6">
        <v>777692</v>
      </c>
      <c r="E23" s="6">
        <v>87127</v>
      </c>
    </row>
    <row r="24" spans="1:5" ht="15" x14ac:dyDescent="0.25">
      <c r="A24" s="5" t="s">
        <v>24</v>
      </c>
      <c r="B24" s="6">
        <v>1833150</v>
      </c>
      <c r="C24" s="6">
        <v>568700</v>
      </c>
      <c r="D24" s="6">
        <v>568700</v>
      </c>
      <c r="E24" s="6">
        <v>0</v>
      </c>
    </row>
    <row r="25" spans="1:5" ht="15" x14ac:dyDescent="0.25">
      <c r="A25" s="5" t="s">
        <v>25</v>
      </c>
      <c r="B25" s="6">
        <v>603298</v>
      </c>
      <c r="C25" s="6">
        <v>182541</v>
      </c>
      <c r="D25" s="6">
        <v>179933</v>
      </c>
      <c r="E25" s="6">
        <v>2608</v>
      </c>
    </row>
    <row r="26" spans="1:5" ht="15" x14ac:dyDescent="0.25">
      <c r="A26" s="5" t="s">
        <v>26</v>
      </c>
      <c r="B26" s="6">
        <v>389333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1394715</v>
      </c>
      <c r="C27" s="6">
        <v>488080</v>
      </c>
      <c r="D27" s="6">
        <v>488080</v>
      </c>
      <c r="E27" s="6">
        <v>0</v>
      </c>
    </row>
    <row r="28" spans="1:5" ht="15" x14ac:dyDescent="0.25">
      <c r="A28" s="5" t="s">
        <v>28</v>
      </c>
      <c r="B28" s="6">
        <v>1906799</v>
      </c>
      <c r="C28" s="6">
        <v>826216</v>
      </c>
      <c r="D28" s="6">
        <v>574490</v>
      </c>
      <c r="E28" s="6">
        <v>251726</v>
      </c>
    </row>
    <row r="29" spans="1:5" ht="15" x14ac:dyDescent="0.25">
      <c r="A29" s="5" t="s">
        <v>29</v>
      </c>
      <c r="B29" s="6">
        <v>395873</v>
      </c>
      <c r="C29" s="6">
        <v>112072</v>
      </c>
      <c r="D29" s="6">
        <v>87998</v>
      </c>
      <c r="E29" s="6">
        <v>24074</v>
      </c>
    </row>
    <row r="30" spans="1:5" ht="15" x14ac:dyDescent="0.25">
      <c r="A30" s="5" t="s">
        <v>30</v>
      </c>
      <c r="B30" s="6">
        <v>1469244</v>
      </c>
      <c r="C30" s="6">
        <v>422601</v>
      </c>
      <c r="D30" s="6">
        <v>422601</v>
      </c>
      <c r="E30" s="6">
        <v>0</v>
      </c>
    </row>
    <row r="31" spans="1:5" ht="15" x14ac:dyDescent="0.25">
      <c r="A31" s="5" t="s">
        <v>31</v>
      </c>
      <c r="B31" s="6">
        <v>1989455</v>
      </c>
      <c r="C31" s="6">
        <v>392790</v>
      </c>
      <c r="D31" s="6">
        <v>0</v>
      </c>
      <c r="E31" s="6">
        <v>392790</v>
      </c>
    </row>
    <row r="32" spans="1:5" ht="15" x14ac:dyDescent="0.25">
      <c r="A32" s="5" t="s">
        <v>32</v>
      </c>
      <c r="B32" s="6">
        <v>2396634</v>
      </c>
      <c r="C32" s="6">
        <v>749273</v>
      </c>
      <c r="D32" s="6">
        <v>695088</v>
      </c>
      <c r="E32" s="6">
        <v>54185</v>
      </c>
    </row>
    <row r="33" spans="1:5" ht="15" x14ac:dyDescent="0.25">
      <c r="A33" s="5" t="s">
        <v>33</v>
      </c>
      <c r="B33" s="6">
        <v>1170996</v>
      </c>
      <c r="C33" s="6">
        <v>221348</v>
      </c>
      <c r="D33" s="6">
        <v>221348</v>
      </c>
      <c r="E33" s="6">
        <v>0</v>
      </c>
    </row>
    <row r="34" spans="1:5" ht="15" x14ac:dyDescent="0.25">
      <c r="A34" s="5" t="s">
        <v>34</v>
      </c>
      <c r="B34" s="6">
        <v>666722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1223109</v>
      </c>
      <c r="C35" s="6">
        <v>326915</v>
      </c>
      <c r="D35" s="6">
        <v>326915</v>
      </c>
      <c r="E35" s="6">
        <v>0</v>
      </c>
    </row>
    <row r="36" spans="1:5" ht="15" x14ac:dyDescent="0.25">
      <c r="A36" s="5" t="s">
        <v>36</v>
      </c>
      <c r="B36" s="6">
        <v>227116</v>
      </c>
      <c r="C36" s="6">
        <v>82671</v>
      </c>
      <c r="D36" s="6">
        <v>82671</v>
      </c>
      <c r="E36" s="6">
        <v>0</v>
      </c>
    </row>
    <row r="37" spans="1:5" ht="15" x14ac:dyDescent="0.25">
      <c r="A37" s="5" t="s">
        <v>37</v>
      </c>
      <c r="B37" s="6">
        <v>20200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346451</v>
      </c>
      <c r="C38" s="6">
        <v>72113</v>
      </c>
      <c r="D38" s="6">
        <v>70387</v>
      </c>
      <c r="E38" s="6">
        <v>1726</v>
      </c>
    </row>
    <row r="39" spans="1:5" ht="15" x14ac:dyDescent="0.25">
      <c r="A39" s="5" t="s">
        <v>39</v>
      </c>
      <c r="B39" s="6">
        <v>737583</v>
      </c>
      <c r="C39" s="6">
        <v>312696</v>
      </c>
      <c r="D39" s="6">
        <v>312696</v>
      </c>
      <c r="E39" s="6">
        <v>0</v>
      </c>
    </row>
    <row r="40" spans="1:5" ht="15" x14ac:dyDescent="0.25">
      <c r="A40" s="5" t="s">
        <v>40</v>
      </c>
      <c r="B40" s="6">
        <v>181309</v>
      </c>
      <c r="C40" s="6">
        <v>60857</v>
      </c>
      <c r="D40" s="6">
        <v>60100</v>
      </c>
      <c r="E40" s="6">
        <v>757</v>
      </c>
    </row>
    <row r="41" spans="1:5" ht="15" x14ac:dyDescent="0.25">
      <c r="A41" s="5" t="s">
        <v>41</v>
      </c>
      <c r="B41" s="6">
        <v>1766535</v>
      </c>
      <c r="C41" s="6">
        <v>597790</v>
      </c>
      <c r="D41" s="6">
        <v>597790</v>
      </c>
      <c r="E41" s="6">
        <v>0</v>
      </c>
    </row>
    <row r="42" spans="1:5" ht="15" x14ac:dyDescent="0.25">
      <c r="A42" s="5" t="s">
        <v>42</v>
      </c>
      <c r="B42" s="6">
        <v>877577</v>
      </c>
      <c r="C42" s="6">
        <v>289236</v>
      </c>
      <c r="D42" s="6">
        <v>289236</v>
      </c>
      <c r="E42" s="6">
        <v>0</v>
      </c>
    </row>
    <row r="43" spans="1:5" ht="15" x14ac:dyDescent="0.25">
      <c r="A43" s="5" t="s">
        <v>43</v>
      </c>
      <c r="B43" s="6">
        <v>6985692</v>
      </c>
      <c r="C43" s="6">
        <v>2111796</v>
      </c>
      <c r="D43" s="6">
        <v>326819</v>
      </c>
      <c r="E43" s="6">
        <v>1784977</v>
      </c>
    </row>
    <row r="44" spans="1:5" ht="15" x14ac:dyDescent="0.25">
      <c r="A44" s="5" t="s">
        <v>44</v>
      </c>
      <c r="B44" s="6">
        <v>3048924</v>
      </c>
      <c r="C44" s="6">
        <v>499678</v>
      </c>
      <c r="D44" s="6">
        <v>499678</v>
      </c>
      <c r="E44" s="6">
        <v>0</v>
      </c>
    </row>
    <row r="45" spans="1:5" ht="15" x14ac:dyDescent="0.25">
      <c r="A45" s="5" t="s">
        <v>45</v>
      </c>
      <c r="B45" s="6">
        <v>105070</v>
      </c>
      <c r="C45" s="6">
        <v>24356</v>
      </c>
      <c r="D45" s="6">
        <v>23132</v>
      </c>
      <c r="E45" s="6">
        <v>1224</v>
      </c>
    </row>
    <row r="46" spans="1:5" ht="15" x14ac:dyDescent="0.25">
      <c r="A46" s="5" t="s">
        <v>46</v>
      </c>
      <c r="B46" s="6">
        <v>3125931</v>
      </c>
      <c r="C46" s="6">
        <v>737125</v>
      </c>
      <c r="D46" s="6">
        <v>736901</v>
      </c>
      <c r="E46" s="6">
        <v>224</v>
      </c>
    </row>
    <row r="47" spans="1:5" ht="15" x14ac:dyDescent="0.25">
      <c r="A47" s="5" t="s">
        <v>47</v>
      </c>
      <c r="B47" s="6">
        <v>984181</v>
      </c>
      <c r="C47" s="6">
        <v>245688</v>
      </c>
      <c r="D47" s="6">
        <v>245688</v>
      </c>
      <c r="E47" s="6">
        <v>0</v>
      </c>
    </row>
    <row r="48" spans="1:5" ht="15" x14ac:dyDescent="0.25">
      <c r="A48" s="5" t="s">
        <v>48</v>
      </c>
      <c r="B48" s="6">
        <v>1268286</v>
      </c>
      <c r="C48" s="6">
        <v>641243</v>
      </c>
      <c r="D48" s="6">
        <v>532906</v>
      </c>
      <c r="E48" s="6">
        <v>108337</v>
      </c>
    </row>
    <row r="49" spans="1:5" ht="15" x14ac:dyDescent="0.25">
      <c r="A49" s="5" t="s">
        <v>49</v>
      </c>
      <c r="B49" s="6">
        <v>2986165</v>
      </c>
      <c r="C49" s="6">
        <v>831819</v>
      </c>
      <c r="D49" s="6">
        <v>781493</v>
      </c>
      <c r="E49" s="6">
        <v>50326</v>
      </c>
    </row>
    <row r="50" spans="1:5" ht="15" x14ac:dyDescent="0.25">
      <c r="A50" s="5" t="s">
        <v>50</v>
      </c>
      <c r="B50" s="6">
        <v>1371563</v>
      </c>
      <c r="C50" s="6">
        <v>633774</v>
      </c>
      <c r="D50" s="6" t="s">
        <v>8</v>
      </c>
      <c r="E50" s="6">
        <v>633774</v>
      </c>
    </row>
    <row r="51" spans="1:5" ht="15" x14ac:dyDescent="0.25">
      <c r="A51" s="5" t="s">
        <v>51</v>
      </c>
      <c r="B51" s="6">
        <v>308855</v>
      </c>
      <c r="C51" s="6">
        <v>78989</v>
      </c>
      <c r="D51" s="6">
        <v>78989</v>
      </c>
      <c r="E51" s="6">
        <v>0</v>
      </c>
    </row>
    <row r="52" spans="1:5" ht="15" x14ac:dyDescent="0.25">
      <c r="A52" s="5" t="s">
        <v>52</v>
      </c>
      <c r="B52" s="6">
        <v>1365586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125473</v>
      </c>
      <c r="C53" s="6">
        <v>24241</v>
      </c>
      <c r="D53" s="6">
        <v>24241</v>
      </c>
      <c r="E53" s="6">
        <v>0</v>
      </c>
    </row>
    <row r="54" spans="1:5" ht="15" x14ac:dyDescent="0.25">
      <c r="A54" s="5" t="s">
        <v>54</v>
      </c>
      <c r="B54" s="6">
        <v>1524162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4405553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342287</v>
      </c>
      <c r="C56" s="6">
        <v>79666</v>
      </c>
      <c r="D56" s="6">
        <v>78571</v>
      </c>
      <c r="E56" s="6">
        <v>1095</v>
      </c>
    </row>
    <row r="57" spans="1:5" ht="15" x14ac:dyDescent="0.25">
      <c r="A57" s="5" t="s">
        <v>57</v>
      </c>
      <c r="B57" s="6">
        <v>170822</v>
      </c>
      <c r="C57" s="6">
        <v>65978</v>
      </c>
      <c r="D57" s="6">
        <v>0</v>
      </c>
      <c r="E57" s="6">
        <v>65978</v>
      </c>
    </row>
    <row r="58" spans="1:5" ht="15" x14ac:dyDescent="0.25">
      <c r="A58" s="5" t="s">
        <v>58</v>
      </c>
      <c r="B58" s="6">
        <v>22179</v>
      </c>
      <c r="C58" s="6">
        <v>8993</v>
      </c>
      <c r="D58" s="6" t="s">
        <v>8</v>
      </c>
      <c r="E58" s="6">
        <v>8993</v>
      </c>
    </row>
    <row r="59" spans="1:5" ht="15" x14ac:dyDescent="0.25">
      <c r="A59" s="5" t="s">
        <v>59</v>
      </c>
      <c r="B59" s="6">
        <v>1831722</v>
      </c>
      <c r="C59" s="6">
        <v>683528</v>
      </c>
      <c r="D59" s="6">
        <v>683528</v>
      </c>
      <c r="E59" s="6">
        <v>0</v>
      </c>
    </row>
    <row r="60" spans="1:5" ht="15" x14ac:dyDescent="0.25">
      <c r="A60" s="5" t="s">
        <v>60</v>
      </c>
      <c r="B60" s="6">
        <v>1860025</v>
      </c>
      <c r="C60" s="6">
        <v>625573</v>
      </c>
      <c r="D60" s="6">
        <v>603543</v>
      </c>
      <c r="E60" s="6">
        <v>22030</v>
      </c>
    </row>
    <row r="61" spans="1:5" ht="15" x14ac:dyDescent="0.25">
      <c r="A61" s="5" t="s">
        <v>61</v>
      </c>
      <c r="B61" s="6">
        <v>522117</v>
      </c>
      <c r="C61" s="6">
        <v>170977</v>
      </c>
      <c r="D61" s="6">
        <v>170977</v>
      </c>
      <c r="E61" s="6">
        <v>0</v>
      </c>
    </row>
    <row r="62" spans="1:5" ht="15" x14ac:dyDescent="0.25">
      <c r="A62" s="5" t="s">
        <v>62</v>
      </c>
      <c r="B62" s="6">
        <v>1278155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70627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85303813</v>
      </c>
      <c r="C64" s="8">
        <f>SUM(C8:C63)</f>
        <v>21061045</v>
      </c>
      <c r="D64" s="8">
        <f>SUM(D8:D63)</f>
        <v>16752303</v>
      </c>
      <c r="E64" s="8">
        <f>SUM(E8:E63)</f>
        <v>4308742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November 20, 2025 9:49 AM&amp;R&amp;"-,Regular"&amp;7Page : &amp;"-,Regular"&amp;7&amp;P&amp;"-,Regular"&amp;7 of &amp;"-,Regular"&amp;7&amp;N</oddFooter>
    <evenFooter>&amp;L&amp;"-,Regular"&amp;7Created On: Thursday, November 20, 2025 9:49 AM&amp;R&amp;"-,Regular"&amp;7Page : &amp;"-,Regular"&amp;7&amp;P&amp;"-,Regular"&amp;7 of &amp;"-,Regular"&amp;7&amp;N</evenFooter>
    <firstFooter>&amp;L&amp;"-,Regular"&amp;7Created On: Thursday, November 20, 2025 9:49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9A93-3121-4EE0-8303-D57AFC21A83B}">
  <sheetPr>
    <pageSetUpPr fitToPage="1"/>
  </sheetPr>
  <dimension ref="A1:E89"/>
  <sheetViews>
    <sheetView workbookViewId="0">
      <pane ySplit="7" topLeftCell="A8" activePane="bottomLeft" state="frozenSplit"/>
      <selection activeCell="E5" sqref="E5"/>
      <selection pane="bottomLeft" activeCell="E5" sqref="E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219</v>
      </c>
      <c r="B2" s="2"/>
      <c r="C2" s="2"/>
      <c r="D2" s="2"/>
      <c r="E2" s="2"/>
    </row>
    <row r="3" spans="1:5" ht="15" x14ac:dyDescent="0.25">
      <c r="A3" s="2" t="s">
        <v>218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1098728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245833</v>
      </c>
      <c r="C9" s="6">
        <v>74423</v>
      </c>
      <c r="D9" s="6">
        <v>74418</v>
      </c>
      <c r="E9" s="6">
        <v>5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2155189</v>
      </c>
      <c r="C11" s="6">
        <v>624685</v>
      </c>
      <c r="D11" s="6">
        <v>124088</v>
      </c>
      <c r="E11" s="6">
        <v>500597</v>
      </c>
    </row>
    <row r="12" spans="1:5" ht="15" x14ac:dyDescent="0.25">
      <c r="A12" s="5" t="s">
        <v>12</v>
      </c>
      <c r="B12" s="6">
        <v>816003</v>
      </c>
      <c r="C12" s="6">
        <v>240504</v>
      </c>
      <c r="D12" s="6">
        <v>232771</v>
      </c>
      <c r="E12" s="6">
        <v>7733</v>
      </c>
    </row>
    <row r="13" spans="1:5" ht="15" x14ac:dyDescent="0.25">
      <c r="A13" s="5" t="s">
        <v>13</v>
      </c>
      <c r="B13" s="6">
        <v>14927376</v>
      </c>
      <c r="C13" s="6">
        <v>5021000</v>
      </c>
      <c r="D13" s="6">
        <v>4997458</v>
      </c>
      <c r="E13" s="6">
        <v>23542</v>
      </c>
    </row>
    <row r="14" spans="1:5" ht="15" x14ac:dyDescent="0.25">
      <c r="A14" s="5" t="s">
        <v>14</v>
      </c>
      <c r="B14" s="6">
        <v>1153289</v>
      </c>
      <c r="C14" s="6">
        <v>354577</v>
      </c>
      <c r="D14" s="6">
        <v>348183</v>
      </c>
      <c r="E14" s="6">
        <v>6394</v>
      </c>
    </row>
    <row r="15" spans="1:5" ht="15" x14ac:dyDescent="0.25">
      <c r="A15" s="5" t="s">
        <v>15</v>
      </c>
      <c r="B15" s="6">
        <v>1092287</v>
      </c>
      <c r="C15" s="6">
        <v>325540</v>
      </c>
      <c r="D15" s="6">
        <v>297569</v>
      </c>
      <c r="E15" s="6">
        <v>27971</v>
      </c>
    </row>
    <row r="16" spans="1:5" ht="15" x14ac:dyDescent="0.25">
      <c r="A16" s="5" t="s">
        <v>16</v>
      </c>
      <c r="B16" s="6">
        <v>235558</v>
      </c>
      <c r="C16" s="6">
        <v>69785</v>
      </c>
      <c r="D16" s="6">
        <v>9987</v>
      </c>
      <c r="E16" s="6">
        <v>59798</v>
      </c>
    </row>
    <row r="17" spans="1:5" ht="15" x14ac:dyDescent="0.25">
      <c r="A17" s="5" t="s">
        <v>17</v>
      </c>
      <c r="B17" s="6">
        <v>263530</v>
      </c>
      <c r="C17" s="6">
        <v>120577</v>
      </c>
      <c r="D17" s="6">
        <v>76918</v>
      </c>
      <c r="E17" s="6">
        <v>43659</v>
      </c>
    </row>
    <row r="18" spans="1:5" ht="15" x14ac:dyDescent="0.25">
      <c r="A18" s="5" t="s">
        <v>18</v>
      </c>
      <c r="B18" s="6">
        <v>4235430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2172329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36072</v>
      </c>
      <c r="C20" s="6">
        <v>4465</v>
      </c>
      <c r="D20" s="6" t="s">
        <v>8</v>
      </c>
      <c r="E20" s="6">
        <v>4465</v>
      </c>
    </row>
    <row r="21" spans="1:5" ht="15" x14ac:dyDescent="0.25">
      <c r="A21" s="5" t="s">
        <v>21</v>
      </c>
      <c r="B21" s="6">
        <v>443286</v>
      </c>
      <c r="C21" s="6">
        <v>154021</v>
      </c>
      <c r="D21" s="6">
        <v>21902</v>
      </c>
      <c r="E21" s="6">
        <v>132119</v>
      </c>
    </row>
    <row r="22" spans="1:5" ht="15" x14ac:dyDescent="0.25">
      <c r="A22" s="5" t="s">
        <v>22</v>
      </c>
      <c r="B22" s="6">
        <v>351532</v>
      </c>
      <c r="C22" s="6">
        <v>90714</v>
      </c>
      <c r="D22" s="6">
        <v>90714</v>
      </c>
      <c r="E22" s="6">
        <v>0</v>
      </c>
    </row>
    <row r="23" spans="1:5" ht="15" x14ac:dyDescent="0.25">
      <c r="A23" s="5" t="s">
        <v>23</v>
      </c>
      <c r="B23" s="6">
        <v>2938364</v>
      </c>
      <c r="C23" s="6">
        <v>848423</v>
      </c>
      <c r="D23" s="6">
        <v>762639</v>
      </c>
      <c r="E23" s="6">
        <v>85784</v>
      </c>
    </row>
    <row r="24" spans="1:5" ht="15" x14ac:dyDescent="0.25">
      <c r="A24" s="5" t="s">
        <v>24</v>
      </c>
      <c r="B24" s="6">
        <v>1861713</v>
      </c>
      <c r="C24" s="6">
        <v>572831</v>
      </c>
      <c r="D24" s="6">
        <v>572831</v>
      </c>
      <c r="E24" s="6">
        <v>0</v>
      </c>
    </row>
    <row r="25" spans="1:5" ht="15" x14ac:dyDescent="0.25">
      <c r="A25" s="5" t="s">
        <v>25</v>
      </c>
      <c r="B25" s="6">
        <v>602489</v>
      </c>
      <c r="C25" s="6">
        <v>181659</v>
      </c>
      <c r="D25" s="6">
        <v>179593</v>
      </c>
      <c r="E25" s="6">
        <v>2066</v>
      </c>
    </row>
    <row r="26" spans="1:5" ht="15" x14ac:dyDescent="0.25">
      <c r="A26" s="5" t="s">
        <v>26</v>
      </c>
      <c r="B26" s="6">
        <v>385448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1375847</v>
      </c>
      <c r="C27" s="6">
        <v>477750</v>
      </c>
      <c r="D27" s="6">
        <v>477750</v>
      </c>
      <c r="E27" s="6">
        <v>0</v>
      </c>
    </row>
    <row r="28" spans="1:5" ht="15" x14ac:dyDescent="0.25">
      <c r="A28" s="5" t="s">
        <v>28</v>
      </c>
      <c r="B28" s="6">
        <v>1888070</v>
      </c>
      <c r="C28" s="6">
        <v>805668</v>
      </c>
      <c r="D28" s="6">
        <v>558530</v>
      </c>
      <c r="E28" s="6">
        <v>247138</v>
      </c>
    </row>
    <row r="29" spans="1:5" ht="15" x14ac:dyDescent="0.25">
      <c r="A29" s="5" t="s">
        <v>29</v>
      </c>
      <c r="B29" s="6">
        <v>396677</v>
      </c>
      <c r="C29" s="6">
        <v>112099</v>
      </c>
      <c r="D29" s="6">
        <v>88146</v>
      </c>
      <c r="E29" s="6">
        <v>23953</v>
      </c>
    </row>
    <row r="30" spans="1:5" ht="15" x14ac:dyDescent="0.25">
      <c r="A30" s="5" t="s">
        <v>30</v>
      </c>
      <c r="B30" s="6">
        <v>1443899</v>
      </c>
      <c r="C30" s="6">
        <v>417852</v>
      </c>
      <c r="D30" s="6">
        <v>417852</v>
      </c>
      <c r="E30" s="6">
        <v>0</v>
      </c>
    </row>
    <row r="31" spans="1:5" ht="15" x14ac:dyDescent="0.25">
      <c r="A31" s="5" t="s">
        <v>31</v>
      </c>
      <c r="B31" s="6">
        <v>2006070</v>
      </c>
      <c r="C31" s="6">
        <v>413512</v>
      </c>
      <c r="D31" s="6">
        <v>0</v>
      </c>
      <c r="E31" s="6">
        <v>413512</v>
      </c>
    </row>
    <row r="32" spans="1:5" ht="15" x14ac:dyDescent="0.25">
      <c r="A32" s="5" t="s">
        <v>32</v>
      </c>
      <c r="B32" s="6">
        <v>2362954</v>
      </c>
      <c r="C32" s="6">
        <v>733228</v>
      </c>
      <c r="D32" s="6">
        <v>679250</v>
      </c>
      <c r="E32" s="6">
        <v>53978</v>
      </c>
    </row>
    <row r="33" spans="1:5" ht="15" x14ac:dyDescent="0.25">
      <c r="A33" s="5" t="s">
        <v>33</v>
      </c>
      <c r="B33" s="6">
        <v>1201105</v>
      </c>
      <c r="C33" s="6">
        <v>229174</v>
      </c>
      <c r="D33" s="6">
        <v>229174</v>
      </c>
      <c r="E33" s="6">
        <v>0</v>
      </c>
    </row>
    <row r="34" spans="1:5" ht="15" x14ac:dyDescent="0.25">
      <c r="A34" s="5" t="s">
        <v>34</v>
      </c>
      <c r="B34" s="6">
        <v>653916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1221263</v>
      </c>
      <c r="C35" s="6">
        <v>329306</v>
      </c>
      <c r="D35" s="6">
        <v>329306</v>
      </c>
      <c r="E35" s="6">
        <v>0</v>
      </c>
    </row>
    <row r="36" spans="1:5" ht="15" x14ac:dyDescent="0.25">
      <c r="A36" s="5" t="s">
        <v>36</v>
      </c>
      <c r="B36" s="6">
        <v>223626</v>
      </c>
      <c r="C36" s="6">
        <v>80472</v>
      </c>
      <c r="D36" s="6">
        <v>80472</v>
      </c>
      <c r="E36" s="6">
        <v>0</v>
      </c>
    </row>
    <row r="37" spans="1:5" ht="15" x14ac:dyDescent="0.25">
      <c r="A37" s="5" t="s">
        <v>37</v>
      </c>
      <c r="B37" s="6">
        <v>17489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346083</v>
      </c>
      <c r="C38" s="6">
        <v>71871</v>
      </c>
      <c r="D38" s="6">
        <v>70145</v>
      </c>
      <c r="E38" s="6">
        <v>1726</v>
      </c>
    </row>
    <row r="39" spans="1:5" ht="15" x14ac:dyDescent="0.25">
      <c r="A39" s="5" t="s">
        <v>39</v>
      </c>
      <c r="B39" s="6">
        <v>717309</v>
      </c>
      <c r="C39" s="6">
        <v>297279</v>
      </c>
      <c r="D39" s="6">
        <v>297279</v>
      </c>
      <c r="E39" s="6">
        <v>0</v>
      </c>
    </row>
    <row r="40" spans="1:5" ht="15" x14ac:dyDescent="0.25">
      <c r="A40" s="5" t="s">
        <v>40</v>
      </c>
      <c r="B40" s="6">
        <v>183953</v>
      </c>
      <c r="C40" s="6">
        <v>61806</v>
      </c>
      <c r="D40" s="6">
        <v>61009</v>
      </c>
      <c r="E40" s="6">
        <v>797</v>
      </c>
    </row>
    <row r="41" spans="1:5" ht="15" x14ac:dyDescent="0.25">
      <c r="A41" s="5" t="s">
        <v>41</v>
      </c>
      <c r="B41" s="6">
        <v>1714617</v>
      </c>
      <c r="C41" s="6">
        <v>575889</v>
      </c>
      <c r="D41" s="6">
        <v>575889</v>
      </c>
      <c r="E41" s="6">
        <v>0</v>
      </c>
    </row>
    <row r="42" spans="1:5" ht="15" x14ac:dyDescent="0.25">
      <c r="A42" s="5" t="s">
        <v>42</v>
      </c>
      <c r="B42" s="6">
        <v>897450</v>
      </c>
      <c r="C42" s="6">
        <v>289031</v>
      </c>
      <c r="D42" s="6">
        <v>289031</v>
      </c>
      <c r="E42" s="6">
        <v>0</v>
      </c>
    </row>
    <row r="43" spans="1:5" ht="15" x14ac:dyDescent="0.25">
      <c r="A43" s="5" t="s">
        <v>43</v>
      </c>
      <c r="B43" s="6">
        <v>6876746</v>
      </c>
      <c r="C43" s="6">
        <v>2001995</v>
      </c>
      <c r="D43" s="6">
        <v>284037</v>
      </c>
      <c r="E43" s="6">
        <v>1717958</v>
      </c>
    </row>
    <row r="44" spans="1:5" ht="15" x14ac:dyDescent="0.25">
      <c r="A44" s="5" t="s">
        <v>44</v>
      </c>
      <c r="B44" s="6">
        <v>3062386</v>
      </c>
      <c r="C44" s="6">
        <v>519021</v>
      </c>
      <c r="D44" s="6">
        <v>519021</v>
      </c>
      <c r="E44" s="6">
        <v>0</v>
      </c>
    </row>
    <row r="45" spans="1:5" ht="15" x14ac:dyDescent="0.25">
      <c r="A45" s="5" t="s">
        <v>45</v>
      </c>
      <c r="B45" s="6">
        <v>105577</v>
      </c>
      <c r="C45" s="6">
        <v>24338</v>
      </c>
      <c r="D45" s="6">
        <v>23126</v>
      </c>
      <c r="E45" s="6">
        <v>1212</v>
      </c>
    </row>
    <row r="46" spans="1:5" ht="15" x14ac:dyDescent="0.25">
      <c r="A46" s="5" t="s">
        <v>46</v>
      </c>
      <c r="B46" s="6">
        <v>3118541</v>
      </c>
      <c r="C46" s="6">
        <v>734152</v>
      </c>
      <c r="D46" s="6">
        <v>733924</v>
      </c>
      <c r="E46" s="6">
        <v>228</v>
      </c>
    </row>
    <row r="47" spans="1:5" ht="15" x14ac:dyDescent="0.25">
      <c r="A47" s="5" t="s">
        <v>47</v>
      </c>
      <c r="B47" s="6">
        <v>989265</v>
      </c>
      <c r="C47" s="6">
        <v>243137</v>
      </c>
      <c r="D47" s="6">
        <v>243137</v>
      </c>
      <c r="E47" s="6">
        <v>0</v>
      </c>
    </row>
    <row r="48" spans="1:5" ht="15" x14ac:dyDescent="0.25">
      <c r="A48" s="5" t="s">
        <v>48</v>
      </c>
      <c r="B48" s="6">
        <v>1271319</v>
      </c>
      <c r="C48" s="6">
        <v>640097</v>
      </c>
      <c r="D48" s="6">
        <v>530990</v>
      </c>
      <c r="E48" s="6">
        <v>109107</v>
      </c>
    </row>
    <row r="49" spans="1:5" ht="15" x14ac:dyDescent="0.25">
      <c r="A49" s="5" t="s">
        <v>49</v>
      </c>
      <c r="B49" s="6">
        <v>2994196</v>
      </c>
      <c r="C49" s="6">
        <v>834145</v>
      </c>
      <c r="D49" s="6">
        <v>784134</v>
      </c>
      <c r="E49" s="6">
        <v>50011</v>
      </c>
    </row>
    <row r="50" spans="1:5" ht="15" x14ac:dyDescent="0.25">
      <c r="A50" s="5" t="s">
        <v>50</v>
      </c>
      <c r="B50" s="6">
        <v>1395911</v>
      </c>
      <c r="C50" s="6">
        <v>643992</v>
      </c>
      <c r="D50" s="6" t="s">
        <v>8</v>
      </c>
      <c r="E50" s="6">
        <v>643992</v>
      </c>
    </row>
    <row r="51" spans="1:5" ht="15" x14ac:dyDescent="0.25">
      <c r="A51" s="5" t="s">
        <v>51</v>
      </c>
      <c r="B51" s="6">
        <v>307037</v>
      </c>
      <c r="C51" s="6">
        <v>78032</v>
      </c>
      <c r="D51" s="6">
        <v>78032</v>
      </c>
      <c r="E51" s="6">
        <v>0</v>
      </c>
    </row>
    <row r="52" spans="1:5" ht="15" x14ac:dyDescent="0.25">
      <c r="A52" s="5" t="s">
        <v>52</v>
      </c>
      <c r="B52" s="6">
        <v>1328965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128180</v>
      </c>
      <c r="C53" s="6">
        <v>25347</v>
      </c>
      <c r="D53" s="6">
        <v>25347</v>
      </c>
      <c r="E53" s="6">
        <v>0</v>
      </c>
    </row>
    <row r="54" spans="1:5" ht="15" x14ac:dyDescent="0.25">
      <c r="A54" s="5" t="s">
        <v>54</v>
      </c>
      <c r="B54" s="6">
        <v>1543174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4413486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342799</v>
      </c>
      <c r="C56" s="6">
        <v>79672</v>
      </c>
      <c r="D56" s="6">
        <v>78518</v>
      </c>
      <c r="E56" s="6">
        <v>1154</v>
      </c>
    </row>
    <row r="57" spans="1:5" ht="15" x14ac:dyDescent="0.25">
      <c r="A57" s="5" t="s">
        <v>57</v>
      </c>
      <c r="B57" s="6">
        <v>170208</v>
      </c>
      <c r="C57" s="6">
        <v>65630</v>
      </c>
      <c r="D57" s="6">
        <v>0</v>
      </c>
      <c r="E57" s="6">
        <v>65630</v>
      </c>
    </row>
    <row r="58" spans="1:5" ht="15" x14ac:dyDescent="0.25">
      <c r="A58" s="5" t="s">
        <v>58</v>
      </c>
      <c r="B58" s="6">
        <v>22000</v>
      </c>
      <c r="C58" s="6">
        <v>8871</v>
      </c>
      <c r="D58" s="6" t="s">
        <v>8</v>
      </c>
      <c r="E58" s="6">
        <v>8871</v>
      </c>
    </row>
    <row r="59" spans="1:5" ht="15" x14ac:dyDescent="0.25">
      <c r="A59" s="5" t="s">
        <v>59</v>
      </c>
      <c r="B59" s="6">
        <v>1816313</v>
      </c>
      <c r="C59" s="6">
        <v>669835</v>
      </c>
      <c r="D59" s="6">
        <v>669835</v>
      </c>
      <c r="E59" s="6">
        <v>0</v>
      </c>
    </row>
    <row r="60" spans="1:5" ht="15" x14ac:dyDescent="0.25">
      <c r="A60" s="5" t="s">
        <v>60</v>
      </c>
      <c r="B60" s="6">
        <v>1848619</v>
      </c>
      <c r="C60" s="6">
        <v>624230</v>
      </c>
      <c r="D60" s="6">
        <v>601879</v>
      </c>
      <c r="E60" s="6">
        <v>22351</v>
      </c>
    </row>
    <row r="61" spans="1:5" ht="15" x14ac:dyDescent="0.25">
      <c r="A61" s="5" t="s">
        <v>61</v>
      </c>
      <c r="B61" s="6">
        <v>522567</v>
      </c>
      <c r="C61" s="6">
        <v>171361</v>
      </c>
      <c r="D61" s="6">
        <v>171361</v>
      </c>
      <c r="E61" s="6">
        <v>0</v>
      </c>
    </row>
    <row r="62" spans="1:5" ht="15" x14ac:dyDescent="0.25">
      <c r="A62" s="5" t="s">
        <v>62</v>
      </c>
      <c r="B62" s="6">
        <v>1264454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69701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85289974</v>
      </c>
      <c r="C64" s="8">
        <f>SUM(C8:C63)</f>
        <v>20941996</v>
      </c>
      <c r="D64" s="8">
        <f>SUM(D8:D63)</f>
        <v>16686245</v>
      </c>
      <c r="E64" s="8">
        <f>SUM(E8:E63)</f>
        <v>4255751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January 12, 2026 10:19 AM&amp;R&amp;"-,Regular"&amp;7Page : &amp;"-,Regular"&amp;7&amp;P&amp;"-,Regular"&amp;7 of &amp;"-,Regular"&amp;7&amp;N</oddFooter>
    <evenFooter>&amp;L&amp;"-,Regular"&amp;7Created On: Monday, January 12, 2026 10:19 AM&amp;R&amp;"-,Regular"&amp;7Page : &amp;"-,Regular"&amp;7&amp;P&amp;"-,Regular"&amp;7 of &amp;"-,Regular"&amp;7&amp;N</evenFooter>
    <firstFooter>&amp;L&amp;"-,Regular"&amp;7Created On: Monday, January 12, 2026 10:19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3379-0556-444B-858D-E52BABA849F5}">
  <sheetPr>
    <pageSetUpPr fitToPage="1"/>
  </sheetPr>
  <dimension ref="A1:E89"/>
  <sheetViews>
    <sheetView workbookViewId="0">
      <pane ySplit="7" topLeftCell="A8" activePane="bottomLeft" state="frozenSplit"/>
      <selection activeCell="E5" sqref="E5"/>
      <selection pane="bottomLeft" activeCell="E5" sqref="E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220</v>
      </c>
      <c r="B2" s="2"/>
      <c r="C2" s="2"/>
      <c r="D2" s="2"/>
      <c r="E2" s="2"/>
    </row>
    <row r="3" spans="1:5" ht="15" x14ac:dyDescent="0.25">
      <c r="A3" s="2" t="s">
        <v>218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1087194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246282</v>
      </c>
      <c r="C9" s="6">
        <v>74746</v>
      </c>
      <c r="D9" s="6">
        <v>74744</v>
      </c>
      <c r="E9" s="6">
        <v>2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2147182</v>
      </c>
      <c r="C11" s="6">
        <v>620585</v>
      </c>
      <c r="D11" s="6">
        <v>124768</v>
      </c>
      <c r="E11" s="6">
        <v>495817</v>
      </c>
    </row>
    <row r="12" spans="1:5" ht="15" x14ac:dyDescent="0.25">
      <c r="A12" s="5" t="s">
        <v>12</v>
      </c>
      <c r="B12" s="6">
        <v>812333</v>
      </c>
      <c r="C12" s="6">
        <v>239813</v>
      </c>
      <c r="D12" s="6">
        <v>231976</v>
      </c>
      <c r="E12" s="6">
        <v>7837</v>
      </c>
    </row>
    <row r="13" spans="1:5" ht="15" x14ac:dyDescent="0.25">
      <c r="A13" s="5" t="s">
        <v>13</v>
      </c>
      <c r="B13" s="6">
        <v>14891740</v>
      </c>
      <c r="C13" s="6">
        <v>5009387</v>
      </c>
      <c r="D13" s="6">
        <v>4986255</v>
      </c>
      <c r="E13" s="6">
        <v>23132</v>
      </c>
    </row>
    <row r="14" spans="1:5" ht="15" x14ac:dyDescent="0.25">
      <c r="A14" s="5" t="s">
        <v>14</v>
      </c>
      <c r="B14" s="6">
        <v>1166427</v>
      </c>
      <c r="C14" s="6">
        <v>361337</v>
      </c>
      <c r="D14" s="6">
        <v>354987</v>
      </c>
      <c r="E14" s="6">
        <v>6350</v>
      </c>
    </row>
    <row r="15" spans="1:5" ht="15" x14ac:dyDescent="0.25">
      <c r="A15" s="5" t="s">
        <v>15</v>
      </c>
      <c r="B15" s="6">
        <v>1090813</v>
      </c>
      <c r="C15" s="6">
        <v>325393</v>
      </c>
      <c r="D15" s="6">
        <v>297432</v>
      </c>
      <c r="E15" s="6">
        <v>27961</v>
      </c>
    </row>
    <row r="16" spans="1:5" ht="15" x14ac:dyDescent="0.25">
      <c r="A16" s="5" t="s">
        <v>16</v>
      </c>
      <c r="B16" s="6">
        <v>236085</v>
      </c>
      <c r="C16" s="6">
        <v>69710</v>
      </c>
      <c r="D16" s="6">
        <v>9951</v>
      </c>
      <c r="E16" s="6">
        <v>59759</v>
      </c>
    </row>
    <row r="17" spans="1:5" ht="15" x14ac:dyDescent="0.25">
      <c r="A17" s="5" t="s">
        <v>17</v>
      </c>
      <c r="B17" s="6">
        <v>261828</v>
      </c>
      <c r="C17" s="6">
        <v>118753</v>
      </c>
      <c r="D17" s="6">
        <v>75971</v>
      </c>
      <c r="E17" s="6">
        <v>42782</v>
      </c>
    </row>
    <row r="18" spans="1:5" ht="15" x14ac:dyDescent="0.25">
      <c r="A18" s="5" t="s">
        <v>18</v>
      </c>
      <c r="B18" s="6">
        <v>4220930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2170735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35980</v>
      </c>
      <c r="C20" s="6">
        <v>4475</v>
      </c>
      <c r="D20" s="6" t="s">
        <v>8</v>
      </c>
      <c r="E20" s="6">
        <v>4475</v>
      </c>
    </row>
    <row r="21" spans="1:5" ht="15" x14ac:dyDescent="0.25">
      <c r="A21" s="5" t="s">
        <v>21</v>
      </c>
      <c r="B21" s="6">
        <v>433194</v>
      </c>
      <c r="C21" s="6">
        <v>147776</v>
      </c>
      <c r="D21" s="6">
        <v>20623</v>
      </c>
      <c r="E21" s="6">
        <v>127153</v>
      </c>
    </row>
    <row r="22" spans="1:5" ht="15" x14ac:dyDescent="0.25">
      <c r="A22" s="5" t="s">
        <v>22</v>
      </c>
      <c r="B22" s="6">
        <v>347229</v>
      </c>
      <c r="C22" s="6">
        <v>87756</v>
      </c>
      <c r="D22" s="6">
        <v>87756</v>
      </c>
      <c r="E22" s="6">
        <v>0</v>
      </c>
    </row>
    <row r="23" spans="1:5" ht="15" x14ac:dyDescent="0.25">
      <c r="A23" s="5" t="s">
        <v>23</v>
      </c>
      <c r="B23" s="6">
        <v>2936786</v>
      </c>
      <c r="C23" s="6">
        <v>849261</v>
      </c>
      <c r="D23" s="6">
        <v>764277</v>
      </c>
      <c r="E23" s="6">
        <v>84984</v>
      </c>
    </row>
    <row r="24" spans="1:5" ht="15" x14ac:dyDescent="0.25">
      <c r="A24" s="5" t="s">
        <v>24</v>
      </c>
      <c r="B24" s="6">
        <v>1851445</v>
      </c>
      <c r="C24" s="6">
        <v>571577</v>
      </c>
      <c r="D24" s="6">
        <v>571577</v>
      </c>
      <c r="E24" s="6">
        <v>0</v>
      </c>
    </row>
    <row r="25" spans="1:5" ht="15" x14ac:dyDescent="0.25">
      <c r="A25" s="5" t="s">
        <v>25</v>
      </c>
      <c r="B25" s="6">
        <v>600431</v>
      </c>
      <c r="C25" s="6">
        <v>180491</v>
      </c>
      <c r="D25" s="6">
        <v>178972</v>
      </c>
      <c r="E25" s="6">
        <v>1519</v>
      </c>
    </row>
    <row r="26" spans="1:5" ht="15" x14ac:dyDescent="0.25">
      <c r="A26" s="5" t="s">
        <v>26</v>
      </c>
      <c r="B26" s="6">
        <v>385783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1370749</v>
      </c>
      <c r="C27" s="6">
        <v>476922</v>
      </c>
      <c r="D27" s="6">
        <v>476922</v>
      </c>
      <c r="E27" s="6">
        <v>0</v>
      </c>
    </row>
    <row r="28" spans="1:5" ht="15" x14ac:dyDescent="0.25">
      <c r="A28" s="5" t="s">
        <v>28</v>
      </c>
      <c r="B28" s="6">
        <v>1886819</v>
      </c>
      <c r="C28" s="6">
        <v>803403</v>
      </c>
      <c r="D28" s="6">
        <v>556879</v>
      </c>
      <c r="E28" s="6">
        <v>246524</v>
      </c>
    </row>
    <row r="29" spans="1:5" ht="15" x14ac:dyDescent="0.25">
      <c r="A29" s="5" t="s">
        <v>29</v>
      </c>
      <c r="B29" s="6">
        <v>396919</v>
      </c>
      <c r="C29" s="6">
        <v>113058</v>
      </c>
      <c r="D29" s="6">
        <v>88984</v>
      </c>
      <c r="E29" s="6">
        <v>24074</v>
      </c>
    </row>
    <row r="30" spans="1:5" ht="15" x14ac:dyDescent="0.25">
      <c r="A30" s="5" t="s">
        <v>30</v>
      </c>
      <c r="B30" s="6">
        <v>1425830</v>
      </c>
      <c r="C30" s="6">
        <v>410114</v>
      </c>
      <c r="D30" s="6">
        <v>410114</v>
      </c>
      <c r="E30" s="6">
        <v>0</v>
      </c>
    </row>
    <row r="31" spans="1:5" ht="15" x14ac:dyDescent="0.25">
      <c r="A31" s="5" t="s">
        <v>31</v>
      </c>
      <c r="B31" s="6">
        <v>2010274</v>
      </c>
      <c r="C31" s="6">
        <v>410122</v>
      </c>
      <c r="D31" s="6">
        <v>0</v>
      </c>
      <c r="E31" s="6">
        <v>410122</v>
      </c>
    </row>
    <row r="32" spans="1:5" ht="15" x14ac:dyDescent="0.25">
      <c r="A32" s="5" t="s">
        <v>32</v>
      </c>
      <c r="B32" s="6">
        <v>2366502</v>
      </c>
      <c r="C32" s="6">
        <v>737940</v>
      </c>
      <c r="D32" s="6">
        <v>683493</v>
      </c>
      <c r="E32" s="6">
        <v>54447</v>
      </c>
    </row>
    <row r="33" spans="1:5" ht="15" x14ac:dyDescent="0.25">
      <c r="A33" s="5" t="s">
        <v>33</v>
      </c>
      <c r="B33" s="6">
        <v>1193381</v>
      </c>
      <c r="C33" s="6">
        <v>228057</v>
      </c>
      <c r="D33" s="6">
        <v>228057</v>
      </c>
      <c r="E33" s="6">
        <v>0</v>
      </c>
    </row>
    <row r="34" spans="1:5" ht="15" x14ac:dyDescent="0.25">
      <c r="A34" s="5" t="s">
        <v>34</v>
      </c>
      <c r="B34" s="6">
        <v>657713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1229972</v>
      </c>
      <c r="C35" s="6">
        <v>333353</v>
      </c>
      <c r="D35" s="6">
        <v>333353</v>
      </c>
      <c r="E35" s="6">
        <v>0</v>
      </c>
    </row>
    <row r="36" spans="1:5" ht="15" x14ac:dyDescent="0.25">
      <c r="A36" s="5" t="s">
        <v>36</v>
      </c>
      <c r="B36" s="6">
        <v>221907</v>
      </c>
      <c r="C36" s="6">
        <v>79896</v>
      </c>
      <c r="D36" s="6">
        <v>79896</v>
      </c>
      <c r="E36" s="6">
        <v>0</v>
      </c>
    </row>
    <row r="37" spans="1:5" ht="15" x14ac:dyDescent="0.25">
      <c r="A37" s="5" t="s">
        <v>37</v>
      </c>
      <c r="B37" s="6">
        <v>17459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347991</v>
      </c>
      <c r="C38" s="6">
        <v>72142</v>
      </c>
      <c r="D38" s="6">
        <v>70403</v>
      </c>
      <c r="E38" s="6">
        <v>1739</v>
      </c>
    </row>
    <row r="39" spans="1:5" ht="15" x14ac:dyDescent="0.25">
      <c r="A39" s="5" t="s">
        <v>39</v>
      </c>
      <c r="B39" s="6">
        <v>713287</v>
      </c>
      <c r="C39" s="6">
        <v>291399</v>
      </c>
      <c r="D39" s="6">
        <v>291399</v>
      </c>
      <c r="E39" s="6">
        <v>0</v>
      </c>
    </row>
    <row r="40" spans="1:5" ht="15" x14ac:dyDescent="0.25">
      <c r="A40" s="5" t="s">
        <v>40</v>
      </c>
      <c r="B40" s="6">
        <v>183780</v>
      </c>
      <c r="C40" s="6">
        <v>61517</v>
      </c>
      <c r="D40" s="6">
        <v>60675</v>
      </c>
      <c r="E40" s="6">
        <v>842</v>
      </c>
    </row>
    <row r="41" spans="1:5" ht="15" x14ac:dyDescent="0.25">
      <c r="A41" s="5" t="s">
        <v>41</v>
      </c>
      <c r="B41" s="6">
        <v>1705831</v>
      </c>
      <c r="C41" s="6">
        <v>572999</v>
      </c>
      <c r="D41" s="6">
        <v>572999</v>
      </c>
      <c r="E41" s="6">
        <v>0</v>
      </c>
    </row>
    <row r="42" spans="1:5" ht="15" x14ac:dyDescent="0.25">
      <c r="A42" s="5" t="s">
        <v>42</v>
      </c>
      <c r="B42" s="6">
        <v>889924</v>
      </c>
      <c r="C42" s="6">
        <v>283647</v>
      </c>
      <c r="D42" s="6">
        <v>283647</v>
      </c>
      <c r="E42" s="6">
        <v>0</v>
      </c>
    </row>
    <row r="43" spans="1:5" ht="15" x14ac:dyDescent="0.25">
      <c r="A43" s="5" t="s">
        <v>43</v>
      </c>
      <c r="B43" s="6">
        <v>6831433</v>
      </c>
      <c r="C43" s="6">
        <v>1996953</v>
      </c>
      <c r="D43" s="6">
        <v>282591</v>
      </c>
      <c r="E43" s="6">
        <v>1714362</v>
      </c>
    </row>
    <row r="44" spans="1:5" ht="15" x14ac:dyDescent="0.25">
      <c r="A44" s="5" t="s">
        <v>44</v>
      </c>
      <c r="B44" s="6">
        <v>3074965</v>
      </c>
      <c r="C44" s="6">
        <v>539700</v>
      </c>
      <c r="D44" s="6">
        <v>539700</v>
      </c>
      <c r="E44" s="6">
        <v>0</v>
      </c>
    </row>
    <row r="45" spans="1:5" ht="15" x14ac:dyDescent="0.25">
      <c r="A45" s="5" t="s">
        <v>45</v>
      </c>
      <c r="B45" s="6">
        <v>106324</v>
      </c>
      <c r="C45" s="6">
        <v>24537</v>
      </c>
      <c r="D45" s="6">
        <v>23310</v>
      </c>
      <c r="E45" s="6">
        <v>1227</v>
      </c>
    </row>
    <row r="46" spans="1:5" ht="15" x14ac:dyDescent="0.25">
      <c r="A46" s="5" t="s">
        <v>46</v>
      </c>
      <c r="B46" s="6">
        <v>3107716</v>
      </c>
      <c r="C46" s="6">
        <v>731576</v>
      </c>
      <c r="D46" s="6">
        <v>731345</v>
      </c>
      <c r="E46" s="6">
        <v>231</v>
      </c>
    </row>
    <row r="47" spans="1:5" ht="15" x14ac:dyDescent="0.25">
      <c r="A47" s="5" t="s">
        <v>47</v>
      </c>
      <c r="B47" s="6">
        <v>987723</v>
      </c>
      <c r="C47" s="6">
        <v>242699</v>
      </c>
      <c r="D47" s="6">
        <v>242699</v>
      </c>
      <c r="E47" s="6">
        <v>0</v>
      </c>
    </row>
    <row r="48" spans="1:5" ht="15" x14ac:dyDescent="0.25">
      <c r="A48" s="5" t="s">
        <v>48</v>
      </c>
      <c r="B48" s="6">
        <v>1277018</v>
      </c>
      <c r="C48" s="6">
        <v>645329</v>
      </c>
      <c r="D48" s="6">
        <v>535409</v>
      </c>
      <c r="E48" s="6">
        <v>109920</v>
      </c>
    </row>
    <row r="49" spans="1:5" ht="15" x14ac:dyDescent="0.25">
      <c r="A49" s="5" t="s">
        <v>49</v>
      </c>
      <c r="B49" s="6">
        <v>2996639</v>
      </c>
      <c r="C49" s="6">
        <v>835333</v>
      </c>
      <c r="D49" s="6">
        <v>785882</v>
      </c>
      <c r="E49" s="6">
        <v>49451</v>
      </c>
    </row>
    <row r="50" spans="1:5" ht="15" x14ac:dyDescent="0.25">
      <c r="A50" s="5" t="s">
        <v>50</v>
      </c>
      <c r="B50" s="6">
        <v>1363578</v>
      </c>
      <c r="C50" s="6">
        <v>616414</v>
      </c>
      <c r="D50" s="6" t="s">
        <v>8</v>
      </c>
      <c r="E50" s="6">
        <v>616414</v>
      </c>
    </row>
    <row r="51" spans="1:5" ht="15" x14ac:dyDescent="0.25">
      <c r="A51" s="5" t="s">
        <v>51</v>
      </c>
      <c r="B51" s="6">
        <v>310353</v>
      </c>
      <c r="C51" s="6">
        <v>79047</v>
      </c>
      <c r="D51" s="6">
        <v>79047</v>
      </c>
      <c r="E51" s="6">
        <v>0</v>
      </c>
    </row>
    <row r="52" spans="1:5" ht="15" x14ac:dyDescent="0.25">
      <c r="A52" s="5" t="s">
        <v>52</v>
      </c>
      <c r="B52" s="6">
        <v>1305029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130592</v>
      </c>
      <c r="C53" s="6">
        <v>26340</v>
      </c>
      <c r="D53" s="6">
        <v>26340</v>
      </c>
      <c r="E53" s="6">
        <v>0</v>
      </c>
    </row>
    <row r="54" spans="1:5" ht="15" x14ac:dyDescent="0.25">
      <c r="A54" s="5" t="s">
        <v>54</v>
      </c>
      <c r="B54" s="6">
        <v>1538155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4425808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344066</v>
      </c>
      <c r="C56" s="6">
        <v>80163</v>
      </c>
      <c r="D56" s="6">
        <v>79002</v>
      </c>
      <c r="E56" s="6">
        <v>1161</v>
      </c>
    </row>
    <row r="57" spans="1:5" ht="15" x14ac:dyDescent="0.25">
      <c r="A57" s="5" t="s">
        <v>57</v>
      </c>
      <c r="B57" s="6">
        <v>170024</v>
      </c>
      <c r="C57" s="6">
        <v>65284</v>
      </c>
      <c r="D57" s="6">
        <v>0</v>
      </c>
      <c r="E57" s="6">
        <v>65284</v>
      </c>
    </row>
    <row r="58" spans="1:5" ht="15" x14ac:dyDescent="0.25">
      <c r="A58" s="5" t="s">
        <v>58</v>
      </c>
      <c r="B58" s="6">
        <v>21448</v>
      </c>
      <c r="C58" s="6">
        <v>8569</v>
      </c>
      <c r="D58" s="6" t="s">
        <v>8</v>
      </c>
      <c r="E58" s="6">
        <v>8569</v>
      </c>
    </row>
    <row r="59" spans="1:5" ht="15" x14ac:dyDescent="0.25">
      <c r="A59" s="5" t="s">
        <v>59</v>
      </c>
      <c r="B59" s="6">
        <v>1818053</v>
      </c>
      <c r="C59" s="6">
        <v>672691</v>
      </c>
      <c r="D59" s="6">
        <v>672691</v>
      </c>
      <c r="E59" s="6">
        <v>0</v>
      </c>
    </row>
    <row r="60" spans="1:5" ht="15" x14ac:dyDescent="0.25">
      <c r="A60" s="5" t="s">
        <v>60</v>
      </c>
      <c r="B60" s="6">
        <v>1851565</v>
      </c>
      <c r="C60" s="6">
        <v>621386</v>
      </c>
      <c r="D60" s="6">
        <v>598234</v>
      </c>
      <c r="E60" s="6">
        <v>23152</v>
      </c>
    </row>
    <row r="61" spans="1:5" ht="15" x14ac:dyDescent="0.25">
      <c r="A61" s="5" t="s">
        <v>61</v>
      </c>
      <c r="B61" s="6">
        <v>521684</v>
      </c>
      <c r="C61" s="6">
        <v>171427</v>
      </c>
      <c r="D61" s="6">
        <v>171427</v>
      </c>
      <c r="E61" s="6">
        <v>0</v>
      </c>
    </row>
    <row r="62" spans="1:5" ht="15" x14ac:dyDescent="0.25">
      <c r="A62" s="5" t="s">
        <v>62</v>
      </c>
      <c r="B62" s="6">
        <v>1268619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68525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85093798</v>
      </c>
      <c r="C64" s="8">
        <f>SUM(C8:C63)</f>
        <v>20893077</v>
      </c>
      <c r="D64" s="8">
        <f>SUM(D8:D63)</f>
        <v>16683787</v>
      </c>
      <c r="E64" s="8">
        <f>SUM(E8:E63)</f>
        <v>4209290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January 12, 2026 10:19 AM&amp;R&amp;"-,Regular"&amp;7Page : &amp;"-,Regular"&amp;7&amp;P&amp;"-,Regular"&amp;7 of &amp;"-,Regular"&amp;7&amp;N</oddFooter>
    <evenFooter>&amp;L&amp;"-,Regular"&amp;7Created On: Monday, January 12, 2026 10:19 AM&amp;R&amp;"-,Regular"&amp;7Page : &amp;"-,Regular"&amp;7&amp;P&amp;"-,Regular"&amp;7 of &amp;"-,Regular"&amp;7&amp;N</evenFooter>
    <firstFooter>&amp;L&amp;"-,Regular"&amp;7Created On: Monday, January 12, 2026 10:19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10CB-E7CB-401D-BF8E-B38E0B8A9BC2}">
  <sheetPr>
    <pageSetUpPr fitToPage="1"/>
  </sheetPr>
  <dimension ref="A1:E89"/>
  <sheetViews>
    <sheetView workbookViewId="0">
      <pane ySplit="7" topLeftCell="A32" activePane="bottomLeft" state="frozenSplit"/>
      <selection activeCell="E5" sqref="E5"/>
      <selection pane="bottomLeft" activeCell="E5" sqref="E5"/>
    </sheetView>
  </sheetViews>
  <sheetFormatPr defaultColWidth="9.140625" defaultRowHeight="11.25" x14ac:dyDescent="0.25"/>
  <cols>
    <col min="1" max="1" width="18.7109375" style="1" customWidth="1"/>
    <col min="2" max="5" width="20.7109375" style="1" customWidth="1"/>
    <col min="6" max="6" width="9.140625" style="1" customWidth="1"/>
    <col min="7" max="16384" width="9.140625" style="1"/>
  </cols>
  <sheetData>
    <row r="1" spans="1:5" ht="15" x14ac:dyDescent="0.25">
      <c r="A1" s="2" t="s">
        <v>0</v>
      </c>
      <c r="B1" s="2"/>
      <c r="C1" s="2"/>
      <c r="D1" s="2"/>
      <c r="E1" s="2"/>
    </row>
    <row r="2" spans="1:5" ht="15" x14ac:dyDescent="0.25">
      <c r="A2" s="2" t="s">
        <v>221</v>
      </c>
      <c r="B2" s="2"/>
      <c r="C2" s="2"/>
      <c r="D2" s="2"/>
      <c r="E2" s="2"/>
    </row>
    <row r="3" spans="1:5" ht="15" x14ac:dyDescent="0.25">
      <c r="A3" s="2" t="s">
        <v>218</v>
      </c>
      <c r="B3" s="2"/>
      <c r="C3" s="2"/>
      <c r="D3" s="2"/>
      <c r="E3" s="2"/>
    </row>
    <row r="4" spans="1:5" ht="15" x14ac:dyDescent="0.25">
      <c r="A4" s="2" t="s">
        <v>1</v>
      </c>
      <c r="B4" s="2"/>
      <c r="C4" s="2"/>
      <c r="D4" s="2"/>
      <c r="E4" s="2"/>
    </row>
    <row r="5" spans="1:5" ht="15" x14ac:dyDescent="0.25">
      <c r="A5" s="3"/>
      <c r="B5" s="3"/>
      <c r="C5" s="3"/>
      <c r="D5" s="3"/>
      <c r="E5" s="3"/>
    </row>
    <row r="6" spans="1:5" ht="15" x14ac:dyDescent="0.25">
      <c r="A6" s="3"/>
      <c r="B6" s="3"/>
      <c r="C6" s="3"/>
      <c r="D6" s="3"/>
      <c r="E6" s="3"/>
    </row>
    <row r="7" spans="1:5" customFormat="1" ht="45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" x14ac:dyDescent="0.25">
      <c r="A8" s="5" t="s">
        <v>7</v>
      </c>
      <c r="B8" s="6">
        <v>1087891</v>
      </c>
      <c r="C8" s="6" t="s">
        <v>8</v>
      </c>
      <c r="D8" s="6" t="s">
        <v>8</v>
      </c>
      <c r="E8" s="6" t="s">
        <v>8</v>
      </c>
    </row>
    <row r="9" spans="1:5" ht="15" x14ac:dyDescent="0.25">
      <c r="A9" s="5" t="s">
        <v>9</v>
      </c>
      <c r="B9" s="6">
        <v>246274</v>
      </c>
      <c r="C9" s="6">
        <v>74991</v>
      </c>
      <c r="D9" s="6">
        <v>74988</v>
      </c>
      <c r="E9" s="6">
        <v>3</v>
      </c>
    </row>
    <row r="10" spans="1:5" ht="15" x14ac:dyDescent="0.25">
      <c r="A10" s="5" t="s">
        <v>10</v>
      </c>
      <c r="B10" s="6">
        <v>33746</v>
      </c>
      <c r="C10" s="6" t="s">
        <v>8</v>
      </c>
      <c r="D10" s="6" t="s">
        <v>8</v>
      </c>
      <c r="E10" s="6" t="s">
        <v>8</v>
      </c>
    </row>
    <row r="11" spans="1:5" ht="15" x14ac:dyDescent="0.25">
      <c r="A11" s="5" t="s">
        <v>11</v>
      </c>
      <c r="B11" s="6">
        <v>2133413</v>
      </c>
      <c r="C11" s="6">
        <v>611150</v>
      </c>
      <c r="D11" s="6">
        <v>125408</v>
      </c>
      <c r="E11" s="6">
        <v>485742</v>
      </c>
    </row>
    <row r="12" spans="1:5" ht="15" x14ac:dyDescent="0.25">
      <c r="A12" s="5" t="s">
        <v>12</v>
      </c>
      <c r="B12" s="6">
        <v>806834</v>
      </c>
      <c r="C12" s="6">
        <v>233968</v>
      </c>
      <c r="D12" s="6">
        <v>226216</v>
      </c>
      <c r="E12" s="6">
        <v>7752</v>
      </c>
    </row>
    <row r="13" spans="1:5" ht="15" x14ac:dyDescent="0.25">
      <c r="A13" s="5" t="s">
        <v>13</v>
      </c>
      <c r="B13" s="6">
        <v>14761268</v>
      </c>
      <c r="C13" s="6">
        <v>4972329</v>
      </c>
      <c r="D13" s="6">
        <v>4949702</v>
      </c>
      <c r="E13" s="6">
        <v>22627</v>
      </c>
    </row>
    <row r="14" spans="1:5" ht="15" x14ac:dyDescent="0.25">
      <c r="A14" s="5" t="s">
        <v>14</v>
      </c>
      <c r="B14" s="6">
        <v>1170362</v>
      </c>
      <c r="C14" s="6">
        <v>361193</v>
      </c>
      <c r="D14" s="6">
        <v>355146</v>
      </c>
      <c r="E14" s="6">
        <v>6047</v>
      </c>
    </row>
    <row r="15" spans="1:5" ht="15" x14ac:dyDescent="0.25">
      <c r="A15" s="5" t="s">
        <v>15</v>
      </c>
      <c r="B15" s="6">
        <v>1084286</v>
      </c>
      <c r="C15" s="6">
        <v>323681</v>
      </c>
      <c r="D15" s="6">
        <v>295779</v>
      </c>
      <c r="E15" s="6">
        <v>27902</v>
      </c>
    </row>
    <row r="16" spans="1:5" ht="15" x14ac:dyDescent="0.25">
      <c r="A16" s="5" t="s">
        <v>16</v>
      </c>
      <c r="B16" s="6">
        <v>236063</v>
      </c>
      <c r="C16" s="6">
        <v>69881</v>
      </c>
      <c r="D16" s="6">
        <v>9966</v>
      </c>
      <c r="E16" s="6">
        <v>59915</v>
      </c>
    </row>
    <row r="17" spans="1:5" ht="15" x14ac:dyDescent="0.25">
      <c r="A17" s="5" t="s">
        <v>17</v>
      </c>
      <c r="B17" s="6">
        <v>261673</v>
      </c>
      <c r="C17" s="6">
        <v>118718</v>
      </c>
      <c r="D17" s="6">
        <v>75919</v>
      </c>
      <c r="E17" s="6">
        <v>42799</v>
      </c>
    </row>
    <row r="18" spans="1:5" ht="15" x14ac:dyDescent="0.25">
      <c r="A18" s="5" t="s">
        <v>18</v>
      </c>
      <c r="B18" s="6">
        <v>4320151</v>
      </c>
      <c r="C18" s="6" t="s">
        <v>8</v>
      </c>
      <c r="D18" s="6" t="s">
        <v>8</v>
      </c>
      <c r="E18" s="6" t="s">
        <v>8</v>
      </c>
    </row>
    <row r="19" spans="1:5" ht="15" x14ac:dyDescent="0.25">
      <c r="A19" s="5" t="s">
        <v>19</v>
      </c>
      <c r="B19" s="6">
        <v>2171889</v>
      </c>
      <c r="C19" s="6" t="s">
        <v>8</v>
      </c>
      <c r="D19" s="6" t="s">
        <v>8</v>
      </c>
      <c r="E19" s="6" t="s">
        <v>8</v>
      </c>
    </row>
    <row r="20" spans="1:5" ht="15" x14ac:dyDescent="0.25">
      <c r="A20" s="5" t="s">
        <v>20</v>
      </c>
      <c r="B20" s="6">
        <v>35759</v>
      </c>
      <c r="C20" s="6">
        <v>4465</v>
      </c>
      <c r="D20" s="6" t="s">
        <v>8</v>
      </c>
      <c r="E20" s="6">
        <v>4465</v>
      </c>
    </row>
    <row r="21" spans="1:5" ht="15" x14ac:dyDescent="0.25">
      <c r="A21" s="5" t="s">
        <v>21</v>
      </c>
      <c r="B21" s="6">
        <v>415274</v>
      </c>
      <c r="C21" s="6">
        <v>140559</v>
      </c>
      <c r="D21" s="6">
        <v>18978</v>
      </c>
      <c r="E21" s="6">
        <v>121581</v>
      </c>
    </row>
    <row r="22" spans="1:5" ht="15" x14ac:dyDescent="0.25">
      <c r="A22" s="5" t="s">
        <v>22</v>
      </c>
      <c r="B22" s="6">
        <v>344723</v>
      </c>
      <c r="C22" s="6">
        <v>86416</v>
      </c>
      <c r="D22" s="6">
        <v>86416</v>
      </c>
      <c r="E22" s="6">
        <v>0</v>
      </c>
    </row>
    <row r="23" spans="1:5" ht="15" x14ac:dyDescent="0.25">
      <c r="A23" s="5" t="s">
        <v>23</v>
      </c>
      <c r="B23" s="6">
        <v>2933824</v>
      </c>
      <c r="C23" s="6">
        <v>850751</v>
      </c>
      <c r="D23" s="6">
        <v>766781</v>
      </c>
      <c r="E23" s="6">
        <v>83970</v>
      </c>
    </row>
    <row r="24" spans="1:5" ht="15" x14ac:dyDescent="0.25">
      <c r="A24" s="5" t="s">
        <v>24</v>
      </c>
      <c r="B24" s="6">
        <v>1836394</v>
      </c>
      <c r="C24" s="6">
        <v>566552</v>
      </c>
      <c r="D24" s="6">
        <v>566552</v>
      </c>
      <c r="E24" s="6">
        <v>0</v>
      </c>
    </row>
    <row r="25" spans="1:5" ht="15" x14ac:dyDescent="0.25">
      <c r="A25" s="5" t="s">
        <v>25</v>
      </c>
      <c r="B25" s="6">
        <v>602072</v>
      </c>
      <c r="C25" s="6">
        <v>180629</v>
      </c>
      <c r="D25" s="6">
        <v>179624</v>
      </c>
      <c r="E25" s="6">
        <v>1005</v>
      </c>
    </row>
    <row r="26" spans="1:5" ht="15" x14ac:dyDescent="0.25">
      <c r="A26" s="5" t="s">
        <v>26</v>
      </c>
      <c r="B26" s="6">
        <v>383901</v>
      </c>
      <c r="C26" s="6" t="s">
        <v>8</v>
      </c>
      <c r="D26" s="6" t="s">
        <v>8</v>
      </c>
      <c r="E26" s="6" t="s">
        <v>8</v>
      </c>
    </row>
    <row r="27" spans="1:5" ht="15" x14ac:dyDescent="0.25">
      <c r="A27" s="5" t="s">
        <v>27</v>
      </c>
      <c r="B27" s="6">
        <v>1379433</v>
      </c>
      <c r="C27" s="6">
        <v>480349</v>
      </c>
      <c r="D27" s="6">
        <v>480349</v>
      </c>
      <c r="E27" s="6">
        <v>0</v>
      </c>
    </row>
    <row r="28" spans="1:5" ht="15" x14ac:dyDescent="0.25">
      <c r="A28" s="5" t="s">
        <v>28</v>
      </c>
      <c r="B28" s="6">
        <v>1883696</v>
      </c>
      <c r="C28" s="6">
        <v>802018</v>
      </c>
      <c r="D28" s="6">
        <v>556378</v>
      </c>
      <c r="E28" s="6">
        <v>245640</v>
      </c>
    </row>
    <row r="29" spans="1:5" ht="15" x14ac:dyDescent="0.25">
      <c r="A29" s="5" t="s">
        <v>29</v>
      </c>
      <c r="B29" s="6">
        <v>396641</v>
      </c>
      <c r="C29" s="6">
        <v>112793</v>
      </c>
      <c r="D29" s="6">
        <v>88819</v>
      </c>
      <c r="E29" s="6">
        <v>23974</v>
      </c>
    </row>
    <row r="30" spans="1:5" ht="15" x14ac:dyDescent="0.25">
      <c r="A30" s="5" t="s">
        <v>30</v>
      </c>
      <c r="B30" s="6">
        <v>1411193</v>
      </c>
      <c r="C30" s="6">
        <v>401893</v>
      </c>
      <c r="D30" s="6">
        <v>401893</v>
      </c>
      <c r="E30" s="6">
        <v>0</v>
      </c>
    </row>
    <row r="31" spans="1:5" ht="15" x14ac:dyDescent="0.25">
      <c r="A31" s="5" t="s">
        <v>31</v>
      </c>
      <c r="B31" s="6">
        <v>1995160</v>
      </c>
      <c r="C31" s="6">
        <v>397683</v>
      </c>
      <c r="D31" s="6">
        <v>0</v>
      </c>
      <c r="E31" s="6">
        <v>397683</v>
      </c>
    </row>
    <row r="32" spans="1:5" ht="15" x14ac:dyDescent="0.25">
      <c r="A32" s="5" t="s">
        <v>32</v>
      </c>
      <c r="B32" s="6">
        <v>2380662</v>
      </c>
      <c r="C32" s="6">
        <v>739408</v>
      </c>
      <c r="D32" s="6">
        <v>685061</v>
      </c>
      <c r="E32" s="6">
        <v>54347</v>
      </c>
    </row>
    <row r="33" spans="1:5" ht="15" x14ac:dyDescent="0.25">
      <c r="A33" s="5" t="s">
        <v>33</v>
      </c>
      <c r="B33" s="6">
        <v>1179768</v>
      </c>
      <c r="C33" s="6">
        <v>225954</v>
      </c>
      <c r="D33" s="6">
        <v>225954</v>
      </c>
      <c r="E33" s="6">
        <v>0</v>
      </c>
    </row>
    <row r="34" spans="1:5" ht="15" x14ac:dyDescent="0.25">
      <c r="A34" s="5" t="s">
        <v>34</v>
      </c>
      <c r="B34" s="6">
        <v>657814</v>
      </c>
      <c r="C34" s="6" t="s">
        <v>8</v>
      </c>
      <c r="D34" s="6" t="s">
        <v>8</v>
      </c>
      <c r="E34" s="6" t="s">
        <v>8</v>
      </c>
    </row>
    <row r="35" spans="1:5" ht="15" x14ac:dyDescent="0.25">
      <c r="A35" s="5" t="s">
        <v>35</v>
      </c>
      <c r="B35" s="6">
        <v>1224268</v>
      </c>
      <c r="C35" s="6">
        <v>335174</v>
      </c>
      <c r="D35" s="6">
        <v>335174</v>
      </c>
      <c r="E35" s="6">
        <v>0</v>
      </c>
    </row>
    <row r="36" spans="1:5" ht="15" x14ac:dyDescent="0.25">
      <c r="A36" s="5" t="s">
        <v>36</v>
      </c>
      <c r="B36" s="6">
        <v>219938</v>
      </c>
      <c r="C36" s="6">
        <v>79128</v>
      </c>
      <c r="D36" s="6">
        <v>79128</v>
      </c>
      <c r="E36" s="6">
        <v>0</v>
      </c>
    </row>
    <row r="37" spans="1:5" ht="15" x14ac:dyDescent="0.25">
      <c r="A37" s="5" t="s">
        <v>37</v>
      </c>
      <c r="B37" s="6">
        <v>16396</v>
      </c>
      <c r="C37" s="6" t="s">
        <v>8</v>
      </c>
      <c r="D37" s="6" t="s">
        <v>8</v>
      </c>
      <c r="E37" s="6" t="s">
        <v>8</v>
      </c>
    </row>
    <row r="38" spans="1:5" ht="15" x14ac:dyDescent="0.25">
      <c r="A38" s="5" t="s">
        <v>38</v>
      </c>
      <c r="B38" s="6">
        <v>344436</v>
      </c>
      <c r="C38" s="6">
        <v>71111</v>
      </c>
      <c r="D38" s="6">
        <v>69385</v>
      </c>
      <c r="E38" s="6">
        <v>1726</v>
      </c>
    </row>
    <row r="39" spans="1:5" ht="15" x14ac:dyDescent="0.25">
      <c r="A39" s="5" t="s">
        <v>39</v>
      </c>
      <c r="B39" s="6">
        <v>709833</v>
      </c>
      <c r="C39" s="6">
        <v>286700</v>
      </c>
      <c r="D39" s="6">
        <v>286700</v>
      </c>
      <c r="E39" s="6">
        <v>0</v>
      </c>
    </row>
    <row r="40" spans="1:5" ht="15" x14ac:dyDescent="0.25">
      <c r="A40" s="5" t="s">
        <v>40</v>
      </c>
      <c r="B40" s="6">
        <v>181705</v>
      </c>
      <c r="C40" s="6">
        <v>60751</v>
      </c>
      <c r="D40" s="6">
        <v>59847</v>
      </c>
      <c r="E40" s="6">
        <v>904</v>
      </c>
    </row>
    <row r="41" spans="1:5" ht="15" x14ac:dyDescent="0.25">
      <c r="A41" s="5" t="s">
        <v>41</v>
      </c>
      <c r="B41" s="6">
        <v>1696330</v>
      </c>
      <c r="C41" s="6">
        <v>569931</v>
      </c>
      <c r="D41" s="6">
        <v>569931</v>
      </c>
      <c r="E41" s="6">
        <v>0</v>
      </c>
    </row>
    <row r="42" spans="1:5" ht="15" x14ac:dyDescent="0.25">
      <c r="A42" s="5" t="s">
        <v>42</v>
      </c>
      <c r="B42" s="6">
        <v>876566</v>
      </c>
      <c r="C42" s="6">
        <v>277369</v>
      </c>
      <c r="D42" s="6">
        <v>277369</v>
      </c>
      <c r="E42" s="6">
        <v>0</v>
      </c>
    </row>
    <row r="43" spans="1:5" ht="15" x14ac:dyDescent="0.25">
      <c r="A43" s="5" t="s">
        <v>43</v>
      </c>
      <c r="B43" s="6">
        <v>6792546</v>
      </c>
      <c r="C43" s="6">
        <v>1995553</v>
      </c>
      <c r="D43" s="6">
        <v>282086</v>
      </c>
      <c r="E43" s="6">
        <v>1713467</v>
      </c>
    </row>
    <row r="44" spans="1:5" ht="15" x14ac:dyDescent="0.25">
      <c r="A44" s="5" t="s">
        <v>44</v>
      </c>
      <c r="B44" s="6">
        <v>3084911</v>
      </c>
      <c r="C44" s="6">
        <v>558031</v>
      </c>
      <c r="D44" s="6">
        <v>558031</v>
      </c>
      <c r="E44" s="6">
        <v>0</v>
      </c>
    </row>
    <row r="45" spans="1:5" ht="15" x14ac:dyDescent="0.25">
      <c r="A45" s="5" t="s">
        <v>45</v>
      </c>
      <c r="B45" s="6">
        <v>106530</v>
      </c>
      <c r="C45" s="6">
        <v>24433</v>
      </c>
      <c r="D45" s="6">
        <v>23212</v>
      </c>
      <c r="E45" s="6">
        <v>1221</v>
      </c>
    </row>
    <row r="46" spans="1:5" ht="15" x14ac:dyDescent="0.25">
      <c r="A46" s="5" t="s">
        <v>46</v>
      </c>
      <c r="B46" s="6">
        <v>3102698</v>
      </c>
      <c r="C46" s="6">
        <v>731595</v>
      </c>
      <c r="D46" s="6">
        <v>731384</v>
      </c>
      <c r="E46" s="6">
        <v>211</v>
      </c>
    </row>
    <row r="47" spans="1:5" ht="15" x14ac:dyDescent="0.25">
      <c r="A47" s="5" t="s">
        <v>47</v>
      </c>
      <c r="B47" s="6">
        <v>969910</v>
      </c>
      <c r="C47" s="6">
        <v>230652</v>
      </c>
      <c r="D47" s="6">
        <v>230652</v>
      </c>
      <c r="E47" s="6">
        <v>0</v>
      </c>
    </row>
    <row r="48" spans="1:5" ht="15" x14ac:dyDescent="0.25">
      <c r="A48" s="5" t="s">
        <v>48</v>
      </c>
      <c r="B48" s="6">
        <v>1280587</v>
      </c>
      <c r="C48" s="6">
        <v>650551</v>
      </c>
      <c r="D48" s="6">
        <v>540255</v>
      </c>
      <c r="E48" s="6">
        <v>110296</v>
      </c>
    </row>
    <row r="49" spans="1:5" ht="15" x14ac:dyDescent="0.25">
      <c r="A49" s="5" t="s">
        <v>49</v>
      </c>
      <c r="B49" s="6">
        <v>2990106</v>
      </c>
      <c r="C49" s="6">
        <v>830403</v>
      </c>
      <c r="D49" s="6">
        <v>781241</v>
      </c>
      <c r="E49" s="6">
        <v>49162</v>
      </c>
    </row>
    <row r="50" spans="1:5" ht="15" x14ac:dyDescent="0.25">
      <c r="A50" s="5" t="s">
        <v>50</v>
      </c>
      <c r="B50" s="6">
        <v>1340393</v>
      </c>
      <c r="C50" s="6">
        <v>620237</v>
      </c>
      <c r="D50" s="6" t="s">
        <v>8</v>
      </c>
      <c r="E50" s="6">
        <v>620237</v>
      </c>
    </row>
    <row r="51" spans="1:5" ht="15" x14ac:dyDescent="0.25">
      <c r="A51" s="5" t="s">
        <v>51</v>
      </c>
      <c r="B51" s="6">
        <v>309526</v>
      </c>
      <c r="C51" s="6">
        <v>78838</v>
      </c>
      <c r="D51" s="6">
        <v>78838</v>
      </c>
      <c r="E51" s="6">
        <v>0</v>
      </c>
    </row>
    <row r="52" spans="1:5" ht="15" x14ac:dyDescent="0.25">
      <c r="A52" s="5" t="s">
        <v>52</v>
      </c>
      <c r="B52" s="6">
        <v>1300056</v>
      </c>
      <c r="C52" s="6" t="s">
        <v>8</v>
      </c>
      <c r="D52" s="6" t="s">
        <v>8</v>
      </c>
      <c r="E52" s="6" t="s">
        <v>8</v>
      </c>
    </row>
    <row r="53" spans="1:5" ht="15" x14ac:dyDescent="0.25">
      <c r="A53" s="5" t="s">
        <v>53</v>
      </c>
      <c r="B53" s="6">
        <v>132581</v>
      </c>
      <c r="C53" s="6">
        <v>27316</v>
      </c>
      <c r="D53" s="6">
        <v>27316</v>
      </c>
      <c r="E53" s="6">
        <v>0</v>
      </c>
    </row>
    <row r="54" spans="1:5" ht="15" x14ac:dyDescent="0.25">
      <c r="A54" s="5" t="s">
        <v>54</v>
      </c>
      <c r="B54" s="6">
        <v>1522325</v>
      </c>
      <c r="C54" s="6" t="s">
        <v>8</v>
      </c>
      <c r="D54" s="6" t="s">
        <v>8</v>
      </c>
      <c r="E54" s="6" t="s">
        <v>8</v>
      </c>
    </row>
    <row r="55" spans="1:5" ht="15" x14ac:dyDescent="0.25">
      <c r="A55" s="5" t="s">
        <v>55</v>
      </c>
      <c r="B55" s="6">
        <v>4415617</v>
      </c>
      <c r="C55" s="6" t="s">
        <v>8</v>
      </c>
      <c r="D55" s="6" t="s">
        <v>8</v>
      </c>
      <c r="E55" s="6" t="s">
        <v>8</v>
      </c>
    </row>
    <row r="56" spans="1:5" ht="15" x14ac:dyDescent="0.25">
      <c r="A56" s="5" t="s">
        <v>56</v>
      </c>
      <c r="B56" s="6">
        <v>344195</v>
      </c>
      <c r="C56" s="6">
        <v>80181</v>
      </c>
      <c r="D56" s="6">
        <v>79002</v>
      </c>
      <c r="E56" s="6">
        <v>1179</v>
      </c>
    </row>
    <row r="57" spans="1:5" ht="15" x14ac:dyDescent="0.25">
      <c r="A57" s="5" t="s">
        <v>57</v>
      </c>
      <c r="B57" s="6">
        <v>168541</v>
      </c>
      <c r="C57" s="6">
        <v>64349</v>
      </c>
      <c r="D57" s="6">
        <v>0</v>
      </c>
      <c r="E57" s="6">
        <v>64349</v>
      </c>
    </row>
    <row r="58" spans="1:5" ht="15" x14ac:dyDescent="0.25">
      <c r="A58" s="5" t="s">
        <v>58</v>
      </c>
      <c r="B58" s="6">
        <v>20045</v>
      </c>
      <c r="C58" s="6">
        <v>7766</v>
      </c>
      <c r="D58" s="6" t="s">
        <v>8</v>
      </c>
      <c r="E58" s="6">
        <v>7766</v>
      </c>
    </row>
    <row r="59" spans="1:5" ht="15" x14ac:dyDescent="0.25">
      <c r="A59" s="5" t="s">
        <v>59</v>
      </c>
      <c r="B59" s="6">
        <v>1812323</v>
      </c>
      <c r="C59" s="6">
        <v>670267</v>
      </c>
      <c r="D59" s="6">
        <v>670267</v>
      </c>
      <c r="E59" s="6">
        <v>0</v>
      </c>
    </row>
    <row r="60" spans="1:5" ht="15" x14ac:dyDescent="0.25">
      <c r="A60" s="5" t="s">
        <v>60</v>
      </c>
      <c r="B60" s="6">
        <v>1847144</v>
      </c>
      <c r="C60" s="6">
        <v>618814</v>
      </c>
      <c r="D60" s="6">
        <v>595838</v>
      </c>
      <c r="E60" s="6">
        <v>22976</v>
      </c>
    </row>
    <row r="61" spans="1:5" ht="15" x14ac:dyDescent="0.25">
      <c r="A61" s="5" t="s">
        <v>61</v>
      </c>
      <c r="B61" s="6">
        <v>519466</v>
      </c>
      <c r="C61" s="6">
        <v>171129</v>
      </c>
      <c r="D61" s="6">
        <v>171129</v>
      </c>
      <c r="E61" s="6">
        <v>0</v>
      </c>
    </row>
    <row r="62" spans="1:5" ht="15" x14ac:dyDescent="0.25">
      <c r="A62" s="5" t="s">
        <v>62</v>
      </c>
      <c r="B62" s="6">
        <v>1263950</v>
      </c>
      <c r="C62" s="6" t="s">
        <v>8</v>
      </c>
      <c r="D62" s="6" t="s">
        <v>8</v>
      </c>
      <c r="E62" s="6" t="s">
        <v>8</v>
      </c>
    </row>
    <row r="63" spans="1:5" ht="15" x14ac:dyDescent="0.25">
      <c r="A63" s="5" t="s">
        <v>63</v>
      </c>
      <c r="B63" s="6">
        <v>68252</v>
      </c>
      <c r="C63" s="6" t="s">
        <v>8</v>
      </c>
      <c r="D63" s="6" t="s">
        <v>8</v>
      </c>
      <c r="E63" s="6" t="s">
        <v>8</v>
      </c>
    </row>
    <row r="64" spans="1:5" ht="15" x14ac:dyDescent="0.25">
      <c r="A64" s="7" t="s">
        <v>64</v>
      </c>
      <c r="B64" s="8">
        <f>SUM(B8:B63)</f>
        <v>84811338</v>
      </c>
      <c r="C64" s="8">
        <f>SUM(C8:C63)</f>
        <v>20795660</v>
      </c>
      <c r="D64" s="8">
        <f>SUM(D8:D63)</f>
        <v>16616714</v>
      </c>
      <c r="E64" s="8">
        <f>SUM(E8:E63)</f>
        <v>4178946</v>
      </c>
    </row>
    <row r="66" spans="1:1" x14ac:dyDescent="0.25">
      <c r="A66" s="9" t="s">
        <v>65</v>
      </c>
    </row>
    <row r="68" spans="1:1" x14ac:dyDescent="0.25">
      <c r="A68" s="10" t="s">
        <v>66</v>
      </c>
    </row>
    <row r="69" spans="1:1" x14ac:dyDescent="0.25">
      <c r="A69" s="9" t="s">
        <v>110</v>
      </c>
    </row>
    <row r="70" spans="1:1" x14ac:dyDescent="0.25">
      <c r="A70" s="9" t="s">
        <v>138</v>
      </c>
    </row>
    <row r="71" spans="1:1" x14ac:dyDescent="0.25">
      <c r="A71" s="9" t="s">
        <v>137</v>
      </c>
    </row>
    <row r="72" spans="1:1" x14ac:dyDescent="0.25">
      <c r="A72" s="9" t="s">
        <v>70</v>
      </c>
    </row>
    <row r="73" spans="1:1" x14ac:dyDescent="0.25">
      <c r="A73" s="9" t="s">
        <v>108</v>
      </c>
    </row>
    <row r="74" spans="1:1" x14ac:dyDescent="0.25">
      <c r="A74" s="9" t="s">
        <v>75</v>
      </c>
    </row>
    <row r="75" spans="1:1" x14ac:dyDescent="0.25">
      <c r="A75" s="9" t="s">
        <v>107</v>
      </c>
    </row>
    <row r="76" spans="1:1" x14ac:dyDescent="0.25">
      <c r="A76" s="9" t="s">
        <v>106</v>
      </c>
    </row>
    <row r="77" spans="1:1" x14ac:dyDescent="0.25">
      <c r="A77" s="9" t="s">
        <v>78</v>
      </c>
    </row>
    <row r="78" spans="1:1" x14ac:dyDescent="0.25">
      <c r="A78" s="9" t="s">
        <v>79</v>
      </c>
    </row>
    <row r="79" spans="1:1" x14ac:dyDescent="0.25">
      <c r="A79" s="9" t="s">
        <v>105</v>
      </c>
    </row>
    <row r="80" spans="1:1" x14ac:dyDescent="0.25">
      <c r="A80" s="9" t="s">
        <v>104</v>
      </c>
    </row>
    <row r="81" spans="1:1" x14ac:dyDescent="0.25">
      <c r="A81" s="9" t="s">
        <v>82</v>
      </c>
    </row>
    <row r="82" spans="1:1" x14ac:dyDescent="0.25">
      <c r="A82" s="9" t="s">
        <v>136</v>
      </c>
    </row>
    <row r="83" spans="1:1" x14ac:dyDescent="0.25">
      <c r="A83" s="9" t="s">
        <v>135</v>
      </c>
    </row>
    <row r="84" spans="1:1" x14ac:dyDescent="0.25">
      <c r="A84" s="9" t="s">
        <v>134</v>
      </c>
    </row>
    <row r="85" spans="1:1" x14ac:dyDescent="0.25">
      <c r="A85" s="9" t="s">
        <v>145</v>
      </c>
    </row>
    <row r="86" spans="1:1" x14ac:dyDescent="0.25">
      <c r="A86" s="9" t="s">
        <v>157</v>
      </c>
    </row>
    <row r="87" spans="1:1" x14ac:dyDescent="0.25">
      <c r="A87" s="9" t="s">
        <v>180</v>
      </c>
    </row>
    <row r="88" spans="1:1" x14ac:dyDescent="0.25">
      <c r="A88" s="9"/>
    </row>
    <row r="89" spans="1:1" x14ac:dyDescent="0.25">
      <c r="A89" s="9"/>
    </row>
  </sheetData>
  <conditionalFormatting sqref="A8:E64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January 12, 2026 10:19 AM&amp;R&amp;"-,Regular"&amp;7Page : &amp;"-,Regular"&amp;7&amp;P&amp;"-,Regular"&amp;7 of &amp;"-,Regular"&amp;7&amp;N</oddFooter>
    <evenFooter>&amp;L&amp;"-,Regular"&amp;7Created On: Monday, January 12, 2026 10:19 AM&amp;R&amp;"-,Regular"&amp;7Page : &amp;"-,Regular"&amp;7&amp;P&amp;"-,Regular"&amp;7 of &amp;"-,Regular"&amp;7&amp;N</evenFooter>
    <firstFooter>&amp;L&amp;"-,Regular"&amp;7Created On: Monday, January 12, 2026 10:19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82</vt:i4>
      </vt:variant>
      <vt:variant>
        <vt:lpstr>Named Ranges</vt:lpstr>
      </vt:variant>
      <vt:variant>
        <vt:i4>159</vt:i4>
      </vt:variant>
    </vt:vector>
  </HeadingPairs>
  <TitlesOfParts>
    <vt:vector size="241" baseType="lpstr">
      <vt:lpstr>Combined</vt:lpstr>
      <vt:lpstr>January-2018</vt:lpstr>
      <vt:lpstr>February-2018</vt:lpstr>
      <vt:lpstr>March-2018</vt:lpstr>
      <vt:lpstr>April-2018</vt:lpstr>
      <vt:lpstr>May-2018</vt:lpstr>
      <vt:lpstr>June-2018</vt:lpstr>
      <vt:lpstr>July-2018</vt:lpstr>
      <vt:lpstr>August-2018</vt:lpstr>
      <vt:lpstr>September-2018</vt:lpstr>
      <vt:lpstr>October-2018</vt:lpstr>
      <vt:lpstr>November-2018</vt:lpstr>
      <vt:lpstr>December-2018</vt:lpstr>
      <vt:lpstr>January-2019</vt:lpstr>
      <vt:lpstr>February-2019</vt:lpstr>
      <vt:lpstr>March-2019</vt:lpstr>
      <vt:lpstr>April-2019</vt:lpstr>
      <vt:lpstr>May-2019</vt:lpstr>
      <vt:lpstr>June-2019</vt:lpstr>
      <vt:lpstr>July-2019</vt:lpstr>
      <vt:lpstr>August-2019</vt:lpstr>
      <vt:lpstr>September-2019</vt:lpstr>
      <vt:lpstr>October-2019</vt:lpstr>
      <vt:lpstr>November-2019</vt:lpstr>
      <vt:lpstr>December-2019</vt:lpstr>
      <vt:lpstr>January-2020</vt:lpstr>
      <vt:lpstr>February-2020</vt:lpstr>
      <vt:lpstr>March-2020</vt:lpstr>
      <vt:lpstr>April-2020</vt:lpstr>
      <vt:lpstr>May-2020</vt:lpstr>
      <vt:lpstr>June-2020</vt:lpstr>
      <vt:lpstr>July-2020</vt:lpstr>
      <vt:lpstr>August-2020</vt:lpstr>
      <vt:lpstr>September-2020</vt:lpstr>
      <vt:lpstr>October-2020</vt:lpstr>
      <vt:lpstr>November-2020</vt:lpstr>
      <vt:lpstr>December-2020</vt:lpstr>
      <vt:lpstr>January-2021</vt:lpstr>
      <vt:lpstr>February-2021</vt:lpstr>
      <vt:lpstr>March-2021</vt:lpstr>
      <vt:lpstr>April-2021</vt:lpstr>
      <vt:lpstr>May-2021</vt:lpstr>
      <vt:lpstr>June-2021</vt:lpstr>
      <vt:lpstr>July-2021</vt:lpstr>
      <vt:lpstr>August-2021</vt:lpstr>
      <vt:lpstr>September-2021</vt:lpstr>
      <vt:lpstr>October-2021</vt:lpstr>
      <vt:lpstr>November-2021</vt:lpstr>
      <vt:lpstr>December-2021</vt:lpstr>
      <vt:lpstr>January-2022</vt:lpstr>
      <vt:lpstr>February-2022</vt:lpstr>
      <vt:lpstr>March-2022</vt:lpstr>
      <vt:lpstr>April-2022</vt:lpstr>
      <vt:lpstr>May-2022</vt:lpstr>
      <vt:lpstr>June-2022</vt:lpstr>
      <vt:lpstr>July-2022</vt:lpstr>
      <vt:lpstr>August-2022</vt:lpstr>
      <vt:lpstr>September-2022</vt:lpstr>
      <vt:lpstr>October-2022</vt:lpstr>
      <vt:lpstr>November-2022</vt:lpstr>
      <vt:lpstr>December-2022</vt:lpstr>
      <vt:lpstr>January-2023</vt:lpstr>
      <vt:lpstr>February-2023</vt:lpstr>
      <vt:lpstr>March-2023</vt:lpstr>
      <vt:lpstr>April-2023</vt:lpstr>
      <vt:lpstr>May-2023</vt:lpstr>
      <vt:lpstr>June-2023</vt:lpstr>
      <vt:lpstr>July-2023</vt:lpstr>
      <vt:lpstr>August-2023</vt:lpstr>
      <vt:lpstr>September-2023</vt:lpstr>
      <vt:lpstr>October-2023</vt:lpstr>
      <vt:lpstr>November-2023</vt:lpstr>
      <vt:lpstr>December-2023</vt:lpstr>
      <vt:lpstr>January-2024</vt:lpstr>
      <vt:lpstr>February-2024</vt:lpstr>
      <vt:lpstr>March-2024</vt:lpstr>
      <vt:lpstr>April-2024</vt:lpstr>
      <vt:lpstr>May-2024</vt:lpstr>
      <vt:lpstr>June-2024</vt:lpstr>
      <vt:lpstr>July-2024</vt:lpstr>
      <vt:lpstr>August-2024</vt:lpstr>
      <vt:lpstr>September-2024</vt:lpstr>
      <vt:lpstr>'April-2019'!Print_Area</vt:lpstr>
      <vt:lpstr>'April-2020'!Print_Area</vt:lpstr>
      <vt:lpstr>'April-2021'!Print_Area</vt:lpstr>
      <vt:lpstr>'April-2022'!Print_Area</vt:lpstr>
      <vt:lpstr>'April-2023'!Print_Area</vt:lpstr>
      <vt:lpstr>'April-2024'!Print_Area</vt:lpstr>
      <vt:lpstr>'August-2018'!Print_Area</vt:lpstr>
      <vt:lpstr>'August-2019'!Print_Area</vt:lpstr>
      <vt:lpstr>'August-2020'!Print_Area</vt:lpstr>
      <vt:lpstr>'August-2021'!Print_Area</vt:lpstr>
      <vt:lpstr>'August-2022'!Print_Area</vt:lpstr>
      <vt:lpstr>'August-2023'!Print_Area</vt:lpstr>
      <vt:lpstr>'August-2024'!Print_Area</vt:lpstr>
      <vt:lpstr>'December-2018'!Print_Area</vt:lpstr>
      <vt:lpstr>'December-2019'!Print_Area</vt:lpstr>
      <vt:lpstr>'December-2020'!Print_Area</vt:lpstr>
      <vt:lpstr>'December-2021'!Print_Area</vt:lpstr>
      <vt:lpstr>'December-2022'!Print_Area</vt:lpstr>
      <vt:lpstr>'December-2023'!Print_Area</vt:lpstr>
      <vt:lpstr>'February-2019'!Print_Area</vt:lpstr>
      <vt:lpstr>'February-2020'!Print_Area</vt:lpstr>
      <vt:lpstr>'February-2021'!Print_Area</vt:lpstr>
      <vt:lpstr>'February-2022'!Print_Area</vt:lpstr>
      <vt:lpstr>'February-2023'!Print_Area</vt:lpstr>
      <vt:lpstr>'February-2024'!Print_Area</vt:lpstr>
      <vt:lpstr>'January-2019'!Print_Area</vt:lpstr>
      <vt:lpstr>'January-2020'!Print_Area</vt:lpstr>
      <vt:lpstr>'January-2021'!Print_Area</vt:lpstr>
      <vt:lpstr>'January-2022'!Print_Area</vt:lpstr>
      <vt:lpstr>'January-2023'!Print_Area</vt:lpstr>
      <vt:lpstr>'January-2024'!Print_Area</vt:lpstr>
      <vt:lpstr>'July-2018'!Print_Area</vt:lpstr>
      <vt:lpstr>'July-2019'!Print_Area</vt:lpstr>
      <vt:lpstr>'July-2020'!Print_Area</vt:lpstr>
      <vt:lpstr>'July-2021'!Print_Area</vt:lpstr>
      <vt:lpstr>'July-2022'!Print_Area</vt:lpstr>
      <vt:lpstr>'July-2023'!Print_Area</vt:lpstr>
      <vt:lpstr>'July-2024'!Print_Area</vt:lpstr>
      <vt:lpstr>'June-2019'!Print_Area</vt:lpstr>
      <vt:lpstr>'June-2020'!Print_Area</vt:lpstr>
      <vt:lpstr>'June-2021'!Print_Area</vt:lpstr>
      <vt:lpstr>'June-2022'!Print_Area</vt:lpstr>
      <vt:lpstr>'June-2023'!Print_Area</vt:lpstr>
      <vt:lpstr>'June-2024'!Print_Area</vt:lpstr>
      <vt:lpstr>'March-2019'!Print_Area</vt:lpstr>
      <vt:lpstr>'March-2020'!Print_Area</vt:lpstr>
      <vt:lpstr>'March-2021'!Print_Area</vt:lpstr>
      <vt:lpstr>'March-2022'!Print_Area</vt:lpstr>
      <vt:lpstr>'March-2023'!Print_Area</vt:lpstr>
      <vt:lpstr>'March-2024'!Print_Area</vt:lpstr>
      <vt:lpstr>'May-2019'!Print_Area</vt:lpstr>
      <vt:lpstr>'May-2020'!Print_Area</vt:lpstr>
      <vt:lpstr>'May-2021'!Print_Area</vt:lpstr>
      <vt:lpstr>'May-2022'!Print_Area</vt:lpstr>
      <vt:lpstr>'May-2023'!Print_Area</vt:lpstr>
      <vt:lpstr>'May-2024'!Print_Area</vt:lpstr>
      <vt:lpstr>'November-2018'!Print_Area</vt:lpstr>
      <vt:lpstr>'November-2019'!Print_Area</vt:lpstr>
      <vt:lpstr>'November-2020'!Print_Area</vt:lpstr>
      <vt:lpstr>'November-2021'!Print_Area</vt:lpstr>
      <vt:lpstr>'November-2022'!Print_Area</vt:lpstr>
      <vt:lpstr>'November-2023'!Print_Area</vt:lpstr>
      <vt:lpstr>'October-2018'!Print_Area</vt:lpstr>
      <vt:lpstr>'October-2019'!Print_Area</vt:lpstr>
      <vt:lpstr>'October-2020'!Print_Area</vt:lpstr>
      <vt:lpstr>'October-2021'!Print_Area</vt:lpstr>
      <vt:lpstr>'October-2022'!Print_Area</vt:lpstr>
      <vt:lpstr>'October-2023'!Print_Area</vt:lpstr>
      <vt:lpstr>'September-2018'!Print_Area</vt:lpstr>
      <vt:lpstr>'September-2019'!Print_Area</vt:lpstr>
      <vt:lpstr>'September-2020'!Print_Area</vt:lpstr>
      <vt:lpstr>'September-2021'!Print_Area</vt:lpstr>
      <vt:lpstr>'September-2022'!Print_Area</vt:lpstr>
      <vt:lpstr>'September-2023'!Print_Area</vt:lpstr>
      <vt:lpstr>'September-2024'!Print_Area</vt:lpstr>
      <vt:lpstr>'April-2018'!Print_Titles</vt:lpstr>
      <vt:lpstr>'April-2019'!Print_Titles</vt:lpstr>
      <vt:lpstr>'April-2020'!Print_Titles</vt:lpstr>
      <vt:lpstr>'April-2021'!Print_Titles</vt:lpstr>
      <vt:lpstr>'April-2022'!Print_Titles</vt:lpstr>
      <vt:lpstr>'April-2023'!Print_Titles</vt:lpstr>
      <vt:lpstr>'April-2024'!Print_Titles</vt:lpstr>
      <vt:lpstr>'August-2018'!Print_Titles</vt:lpstr>
      <vt:lpstr>'August-2019'!Print_Titles</vt:lpstr>
      <vt:lpstr>'August-2020'!Print_Titles</vt:lpstr>
      <vt:lpstr>'August-2021'!Print_Titles</vt:lpstr>
      <vt:lpstr>'August-2022'!Print_Titles</vt:lpstr>
      <vt:lpstr>'August-2023'!Print_Titles</vt:lpstr>
      <vt:lpstr>'August-2024'!Print_Titles</vt:lpstr>
      <vt:lpstr>'December-2018'!Print_Titles</vt:lpstr>
      <vt:lpstr>'December-2019'!Print_Titles</vt:lpstr>
      <vt:lpstr>'December-2020'!Print_Titles</vt:lpstr>
      <vt:lpstr>'December-2021'!Print_Titles</vt:lpstr>
      <vt:lpstr>'December-2022'!Print_Titles</vt:lpstr>
      <vt:lpstr>'December-2023'!Print_Titles</vt:lpstr>
      <vt:lpstr>'February-2018'!Print_Titles</vt:lpstr>
      <vt:lpstr>'February-2019'!Print_Titles</vt:lpstr>
      <vt:lpstr>'February-2020'!Print_Titles</vt:lpstr>
      <vt:lpstr>'February-2021'!Print_Titles</vt:lpstr>
      <vt:lpstr>'February-2022'!Print_Titles</vt:lpstr>
      <vt:lpstr>'February-2023'!Print_Titles</vt:lpstr>
      <vt:lpstr>'February-2024'!Print_Titles</vt:lpstr>
      <vt:lpstr>'January-2018'!Print_Titles</vt:lpstr>
      <vt:lpstr>'January-2019'!Print_Titles</vt:lpstr>
      <vt:lpstr>'January-2020'!Print_Titles</vt:lpstr>
      <vt:lpstr>'January-2021'!Print_Titles</vt:lpstr>
      <vt:lpstr>'January-2022'!Print_Titles</vt:lpstr>
      <vt:lpstr>'January-2023'!Print_Titles</vt:lpstr>
      <vt:lpstr>'January-2024'!Print_Titles</vt:lpstr>
      <vt:lpstr>'July-2018'!Print_Titles</vt:lpstr>
      <vt:lpstr>'July-2019'!Print_Titles</vt:lpstr>
      <vt:lpstr>'July-2020'!Print_Titles</vt:lpstr>
      <vt:lpstr>'July-2021'!Print_Titles</vt:lpstr>
      <vt:lpstr>'July-2022'!Print_Titles</vt:lpstr>
      <vt:lpstr>'July-2023'!Print_Titles</vt:lpstr>
      <vt:lpstr>'July-2024'!Print_Titles</vt:lpstr>
      <vt:lpstr>'June-2018'!Print_Titles</vt:lpstr>
      <vt:lpstr>'June-2019'!Print_Titles</vt:lpstr>
      <vt:lpstr>'June-2020'!Print_Titles</vt:lpstr>
      <vt:lpstr>'June-2021'!Print_Titles</vt:lpstr>
      <vt:lpstr>'June-2022'!Print_Titles</vt:lpstr>
      <vt:lpstr>'June-2023'!Print_Titles</vt:lpstr>
      <vt:lpstr>'June-2024'!Print_Titles</vt:lpstr>
      <vt:lpstr>'March-2018'!Print_Titles</vt:lpstr>
      <vt:lpstr>'March-2019'!Print_Titles</vt:lpstr>
      <vt:lpstr>'March-2020'!Print_Titles</vt:lpstr>
      <vt:lpstr>'March-2021'!Print_Titles</vt:lpstr>
      <vt:lpstr>'March-2022'!Print_Titles</vt:lpstr>
      <vt:lpstr>'March-2023'!Print_Titles</vt:lpstr>
      <vt:lpstr>'March-2024'!Print_Titles</vt:lpstr>
      <vt:lpstr>'May-2018'!Print_Titles</vt:lpstr>
      <vt:lpstr>'May-2019'!Print_Titles</vt:lpstr>
      <vt:lpstr>'May-2020'!Print_Titles</vt:lpstr>
      <vt:lpstr>'May-2021'!Print_Titles</vt:lpstr>
      <vt:lpstr>'May-2022'!Print_Titles</vt:lpstr>
      <vt:lpstr>'May-2023'!Print_Titles</vt:lpstr>
      <vt:lpstr>'May-2024'!Print_Titles</vt:lpstr>
      <vt:lpstr>'November-2018'!Print_Titles</vt:lpstr>
      <vt:lpstr>'November-2019'!Print_Titles</vt:lpstr>
      <vt:lpstr>'November-2020'!Print_Titles</vt:lpstr>
      <vt:lpstr>'November-2021'!Print_Titles</vt:lpstr>
      <vt:lpstr>'November-2022'!Print_Titles</vt:lpstr>
      <vt:lpstr>'November-2023'!Print_Titles</vt:lpstr>
      <vt:lpstr>'October-2018'!Print_Titles</vt:lpstr>
      <vt:lpstr>'October-2019'!Print_Titles</vt:lpstr>
      <vt:lpstr>'October-2020'!Print_Titles</vt:lpstr>
      <vt:lpstr>'October-2021'!Print_Titles</vt:lpstr>
      <vt:lpstr>'October-2022'!Print_Titles</vt:lpstr>
      <vt:lpstr>'October-2023'!Print_Titles</vt:lpstr>
      <vt:lpstr>'September-2018'!Print_Titles</vt:lpstr>
      <vt:lpstr>'September-2019'!Print_Titles</vt:lpstr>
      <vt:lpstr>'September-2020'!Print_Titles</vt:lpstr>
      <vt:lpstr>'September-2021'!Print_Titles</vt:lpstr>
      <vt:lpstr>'September-2022'!Print_Titles</vt:lpstr>
      <vt:lpstr>'September-2023'!Print_Titles</vt:lpstr>
      <vt:lpstr>'September-2024'!Print_Titles</vt:lpstr>
      <vt:lpstr>TitleRegion1.A6.E63.4</vt:lpstr>
      <vt:lpstr>TitleRegion1.A6.E63.5</vt:lpstr>
      <vt:lpstr>TitleRegion1.A6.E63.6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David Izrailov</cp:lastModifiedBy>
  <cp:lastPrinted>2019-09-16T14:17:45Z</cp:lastPrinted>
  <dcterms:created xsi:type="dcterms:W3CDTF">2019-08-01T13:22:23Z</dcterms:created>
  <dcterms:modified xsi:type="dcterms:W3CDTF">2026-04-24T17:06:26Z</dcterms:modified>
</cp:coreProperties>
</file>